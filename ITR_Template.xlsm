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nsarconstruction-my.sharepoint.com/personal/harry_steel_pensar_com_au/Documents/Desktop/Albert's Magic Spreadsheet/"/>
    </mc:Choice>
  </mc:AlternateContent>
  <xr:revisionPtr revIDLastSave="3637" documentId="8_{9AE00B20-500E-48A0-BD51-83981263B88D}" xr6:coauthVersionLast="47" xr6:coauthVersionMax="47" xr10:uidLastSave="{71A28926-D2A0-460D-A458-0DFFAAA5274A}"/>
  <bookViews>
    <workbookView xWindow="28680" yWindow="-120" windowWidth="29040" windowHeight="15840" activeTab="1" xr2:uid="{761FC2C5-BB00-4059-B4E2-34956C7D328B}"/>
  </bookViews>
  <sheets>
    <sheet name="ITR LIST" sheetId="6" r:id="rId1"/>
    <sheet name="INSTRUMENT" sheetId="1" r:id="rId2"/>
    <sheet name="CONTROL" sheetId="2" r:id="rId3"/>
    <sheet name="POWER" sheetId="3" r:id="rId4"/>
  </sheets>
  <definedNames>
    <definedName name="_xlnm._FilterDatabase" localSheetId="0" hidden="1">'ITR LIST'!$A$1:$Q$150</definedName>
    <definedName name="_xlnm.Print_Area" localSheetId="2">CONTROL!$A$1:$O$66</definedName>
    <definedName name="_xlnm.Print_Area" localSheetId="1">INSTRUMENT!$A$1:$O$66</definedName>
    <definedName name="_xlnm.Print_Area" localSheetId="0">'ITR LIST'!$A$1:$O$66</definedName>
    <definedName name="_xlnm.Print_Area" localSheetId="3">POWER!$A$1:$O$66</definedName>
    <definedName name="_xlnm.Print_Titles" localSheetId="2">CONTROL!$5:$5</definedName>
    <definedName name="_xlnm.Print_Titles" localSheetId="1">INSTRUMENT!$5:$5</definedName>
    <definedName name="_xlnm.Print_Titles" localSheetId="0">'ITR LIST'!$5:$5</definedName>
    <definedName name="_xlnm.Print_Titles" localSheetId="3">POWER!$5:$5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50" i="6" l="1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E66" i="6"/>
  <c r="AE65" i="6"/>
  <c r="AE64" i="6"/>
  <c r="AE62" i="6"/>
  <c r="AE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42" i="6"/>
  <c r="AD41" i="6"/>
  <c r="AD40" i="6"/>
  <c r="AD39" i="6"/>
  <c r="AD38" i="6"/>
  <c r="AD37" i="6"/>
  <c r="AD36" i="6"/>
  <c r="AD35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AD12" i="6"/>
  <c r="AD11" i="6"/>
  <c r="AD10" i="6"/>
  <c r="AD9" i="6"/>
  <c r="AD8" i="6"/>
  <c r="AD7" i="6"/>
  <c r="AD6" i="6"/>
  <c r="AD5" i="6"/>
  <c r="AD4" i="6"/>
  <c r="AD3" i="6"/>
  <c r="AD2" i="6"/>
</calcChain>
</file>

<file path=xl/sharedStrings.xml><?xml version="1.0" encoding="utf-8"?>
<sst xmlns="http://schemas.openxmlformats.org/spreadsheetml/2006/main" count="2569" uniqueCount="511">
  <si>
    <t xml:space="preserve"> INSTRUMENT CABLE INSPECTION &amp; TEST REPORT</t>
  </si>
  <si>
    <t>PROJECT NAME:</t>
  </si>
  <si>
    <t>JOB NUMBER:</t>
  </si>
  <si>
    <t>CLIENT:</t>
  </si>
  <si>
    <t>AREA:</t>
  </si>
  <si>
    <t>DRAWINGS:</t>
  </si>
  <si>
    <t>FROM EQUIP.:</t>
  </si>
  <si>
    <t>EQUIP. TAG:</t>
  </si>
  <si>
    <t>TO EQUIP.:</t>
  </si>
  <si>
    <t>CABLE NO.:</t>
  </si>
  <si>
    <t>CABLE TYPE:</t>
  </si>
  <si>
    <t>CABLE SIZE:</t>
  </si>
  <si>
    <t>LENGTH:</t>
  </si>
  <si>
    <t>CABLE CORES:</t>
  </si>
  <si>
    <t>DRUM NO.:</t>
  </si>
  <si>
    <t>LENGTH ON DRUM FROM</t>
  </si>
  <si>
    <t>LENGTH ON DRUM TO</t>
  </si>
  <si>
    <t>Insert Tick When Correctly Completed (Details To Be Checked Against The Current Cable Schedule)</t>
  </si>
  <si>
    <t>1. CABLE INSTALLED:</t>
  </si>
  <si>
    <t>2. TERMINATION:</t>
  </si>
  <si>
    <t>Cable Correct Type &amp; Size</t>
  </si>
  <si>
    <t>o</t>
  </si>
  <si>
    <t>Glands Fitted Correctly</t>
  </si>
  <si>
    <t>Shrouds Fitted Correctly</t>
  </si>
  <si>
    <t>Cable Installed</t>
  </si>
  <si>
    <t>Cable Fully Terminated Both Ends</t>
  </si>
  <si>
    <t>Cable/Core Labels Fitted</t>
  </si>
  <si>
    <t>Cable Installed Correctly</t>
  </si>
  <si>
    <t>All Connections Tight &amp; Correct Tension</t>
  </si>
  <si>
    <t>Earth Check of Shield/Armouring Correct</t>
  </si>
  <si>
    <t>Spare Cores Terminated as per Cable Schedule</t>
  </si>
  <si>
    <t>NAME:</t>
  </si>
  <si>
    <t>SIGN:</t>
  </si>
  <si>
    <t>DATE:</t>
  </si>
  <si>
    <t>Low Voltage tester to be used for Point to Point cable check on ELV Data/Control Cables</t>
  </si>
  <si>
    <t>Core Number</t>
  </si>
  <si>
    <t>Core Numbers Fitted</t>
  </si>
  <si>
    <t>Terminated</t>
  </si>
  <si>
    <t>Point to Point</t>
  </si>
  <si>
    <t>Earth Continuity</t>
  </si>
  <si>
    <t>Origin</t>
  </si>
  <si>
    <t>Destination</t>
  </si>
  <si>
    <t>√</t>
  </si>
  <si>
    <t>Ω</t>
  </si>
  <si>
    <t>1W</t>
  </si>
  <si>
    <t>1B</t>
  </si>
  <si>
    <t>2W</t>
  </si>
  <si>
    <t>2B</t>
  </si>
  <si>
    <t>3W</t>
  </si>
  <si>
    <t>3B</t>
  </si>
  <si>
    <t>4W</t>
  </si>
  <si>
    <t>4B</t>
  </si>
  <si>
    <t>5W</t>
  </si>
  <si>
    <t>5B</t>
  </si>
  <si>
    <t>6W</t>
  </si>
  <si>
    <t>6B</t>
  </si>
  <si>
    <t>7W</t>
  </si>
  <si>
    <t>7B</t>
  </si>
  <si>
    <t>8W</t>
  </si>
  <si>
    <t>8B</t>
  </si>
  <si>
    <t>9W</t>
  </si>
  <si>
    <t>9B</t>
  </si>
  <si>
    <t>10W</t>
  </si>
  <si>
    <t>10B</t>
  </si>
  <si>
    <t>11W</t>
  </si>
  <si>
    <t>11B</t>
  </si>
  <si>
    <t>12W</t>
  </si>
  <si>
    <t>12B</t>
  </si>
  <si>
    <t>COMMENTS</t>
  </si>
  <si>
    <t xml:space="preserve">Inspected By (Print): </t>
  </si>
  <si>
    <t>(Sign):</t>
  </si>
  <si>
    <t xml:space="preserve">Electrical License #: </t>
  </si>
  <si>
    <t>Date:</t>
  </si>
  <si>
    <t xml:space="preserve"> Authorisation (Print):</t>
  </si>
  <si>
    <t xml:space="preserve"> Authorisation (Sign):</t>
  </si>
  <si>
    <t>CONTROL CABLE INSPECTION &amp; TEST REPORT</t>
  </si>
  <si>
    <t>RCD Tester</t>
  </si>
  <si>
    <t>Fault Loop Impedance Tester</t>
  </si>
  <si>
    <t>Megger</t>
  </si>
  <si>
    <t>Multimeter</t>
  </si>
  <si>
    <t>Date</t>
  </si>
  <si>
    <t>Tester</t>
  </si>
  <si>
    <t>Cal. Due</t>
  </si>
  <si>
    <t>Serial No.</t>
  </si>
  <si>
    <t>Brand / Model</t>
  </si>
  <si>
    <t>Test Equipment Type</t>
  </si>
  <si>
    <t>m/sec</t>
  </si>
  <si>
    <t>Operating time:</t>
  </si>
  <si>
    <t>m/Amps</t>
  </si>
  <si>
    <t>Operating current:</t>
  </si>
  <si>
    <t>Test MUST Be Conducted Using RCD Tester.</t>
  </si>
  <si>
    <t>Note:</t>
  </si>
  <si>
    <t>RCD Testing</t>
  </si>
  <si>
    <t>Curve:</t>
  </si>
  <si>
    <t>Model:</t>
  </si>
  <si>
    <t>Make:</t>
  </si>
  <si>
    <t xml:space="preserve">ELCB:  </t>
  </si>
  <si>
    <t>N-E</t>
  </si>
  <si>
    <t>B-E</t>
  </si>
  <si>
    <t>W-E</t>
  </si>
  <si>
    <t>R-E</t>
  </si>
  <si>
    <t>B-N</t>
  </si>
  <si>
    <t>W-N</t>
  </si>
  <si>
    <t>W-B</t>
  </si>
  <si>
    <t>R-N or N-E</t>
  </si>
  <si>
    <t>R-B or A-E</t>
  </si>
  <si>
    <t>R-W or A-N</t>
  </si>
  <si>
    <t xml:space="preserve"> √</t>
  </si>
  <si>
    <t>Pass: Y/N</t>
  </si>
  <si>
    <t>Result:  MΩ</t>
  </si>
  <si>
    <t>Insulation Tests</t>
  </si>
  <si>
    <t xml:space="preserve">Earth Continuity </t>
  </si>
  <si>
    <t xml:space="preserve">Point to Point </t>
  </si>
  <si>
    <t xml:space="preserve">To </t>
  </si>
  <si>
    <t>From</t>
  </si>
  <si>
    <t>Core</t>
  </si>
  <si>
    <t>Cross Out Unused Line Items</t>
  </si>
  <si>
    <t>2. TERMINATION</t>
  </si>
  <si>
    <t>POWER CABLE INSPECTION &amp; TEST REPORT</t>
  </si>
  <si>
    <t>PVC</t>
  </si>
  <si>
    <t>NOTE:
50m was excess 
at Rev C</t>
  </si>
  <si>
    <t>NO</t>
  </si>
  <si>
    <t>5V</t>
  </si>
  <si>
    <t>SIEMENS PROFIBUS DP
PURPLE SHEATH</t>
  </si>
  <si>
    <t>Comms</t>
  </si>
  <si>
    <t>2C</t>
  </si>
  <si>
    <t>Cu</t>
  </si>
  <si>
    <t>PLANT CONTROL PLC 2 CABINET BIO-SOLIDS HANDLING BUILDING - ACTIVE PROFIBUS TERMINATOR
(ME-OC-BLD1-SBD4)</t>
  </si>
  <si>
    <t>SODIUM HYPOCHLORITE DOSING PUMP 8
(ME-D-HYP-PMP8)</t>
  </si>
  <si>
    <t>ME-OC-BLD1-SBD4-D2</t>
  </si>
  <si>
    <t>E</t>
  </si>
  <si>
    <t>STAGE 4/5 SKID</t>
  </si>
  <si>
    <t>SODIUM HYPOCHLORITE DOSING PUMP 7
(ME-D-HYP-PMP7)</t>
  </si>
  <si>
    <t>ME-D-HYP-PMP8-D1</t>
  </si>
  <si>
    <t>SODIUM HYPOCHLORITE DOSING PUMP 6
(ME-D-HYP-PMP6)</t>
  </si>
  <si>
    <t>ME-D-HYP-PMP7-D1</t>
  </si>
  <si>
    <t>STAGE 3 SKID</t>
  </si>
  <si>
    <t>SODIUM HYPOCHLORITE DOSING PUMP 5
(ME-D-HYP-PMP5)</t>
  </si>
  <si>
    <t>ME-D-HYP-PMP6-D1</t>
  </si>
  <si>
    <t>SODIUM HYPOCHLORITE DOSING PUMP 4
(ME-D-HYP-PMP4)</t>
  </si>
  <si>
    <t>ME-D-HYP-PMP5-D1</t>
  </si>
  <si>
    <t>STAGE 2 SKID</t>
  </si>
  <si>
    <t>SODIUM HYPOCHLORITE DOSING PUMP 3
(ME-D-HYP-PMP3)</t>
  </si>
  <si>
    <t>ME-D-HYP-PMP4-D1</t>
  </si>
  <si>
    <t>SODIUM HYPOCHLORITE DOSING PUMP 2
(ME-D-HYP-PMP2)</t>
  </si>
  <si>
    <t>ME-D-HYP-PMP3-D1</t>
  </si>
  <si>
    <t>STAGE 1 SKID</t>
  </si>
  <si>
    <t>SODIUM HYPOCHLORITE DOSING PUMP 1
(ME-D-HYP-PMP1)</t>
  </si>
  <si>
    <t>ME-D-HYP-PMP2-D1</t>
  </si>
  <si>
    <t>78898.600 &amp; 
78898.947</t>
  </si>
  <si>
    <t xml:space="preserve">ODOUR CONTROL BUILDING MCC 9 - CELL - SECTION 1
(ME-OC-BLD1-MCC9) </t>
  </si>
  <si>
    <t>ME-D-HYP-PMP1-D1</t>
  </si>
  <si>
    <t>N/A</t>
  </si>
  <si>
    <t>PRE-WIRED BY WESTWATER</t>
  </si>
  <si>
    <t>24VDC</t>
  </si>
  <si>
    <t>VENDOR CABLE</t>
  </si>
  <si>
    <t>Instrumentation</t>
  </si>
  <si>
    <t>TBC</t>
  </si>
  <si>
    <t>SODIUM HYPOCHLORITE DOSING STAGE 4/5 FLOWMETER
(ME-D-HYP-INS8)</t>
  </si>
  <si>
    <t>SODIUM HYPOCHLORITE DOSING STAGE 4/5 FLOWMETER - EXTERNAL DISPLAY PANEL
(ME-D-HYP-INS8)</t>
  </si>
  <si>
    <t>ME-D-HYP-INS8-I2</t>
  </si>
  <si>
    <t>78898.972 &amp; 
78898.954</t>
  </si>
  <si>
    <t xml:space="preserve">PVC/PVC INSTRUMENTATION
110VAC/150VDC
 (DEKORON) </t>
  </si>
  <si>
    <t>2PR</t>
  </si>
  <si>
    <t xml:space="preserve">PLANT CONTROL PLC 2 CABINET BIO-SOLIDS HANDLING BUILDING
(ME-OC-BLD1-SBD4) </t>
  </si>
  <si>
    <t>ME-D-HYP-INS8-I1</t>
  </si>
  <si>
    <t>SODIUM HYPOCHLORITE DOSING STAGE 3 FLOWMETER
(ME-D-HYP-INS6)</t>
  </si>
  <si>
    <t>SODIUM HYPOCHLORITE DOSING STAGE 3 FLOWMETER - EXTERNAL DISPLAY PANEL
(ME-D-HYP-INS6)</t>
  </si>
  <si>
    <t>ME-D-HYP-INS7-I2</t>
  </si>
  <si>
    <t>78898.973 &amp; 
78898.954</t>
  </si>
  <si>
    <t>ME-D-HYP-INS7-I1</t>
  </si>
  <si>
    <t>SODIUM HYPOCHLORITE DOSING STAGE 2 FLOWMETER
(ME-D-HYP-INS6)</t>
  </si>
  <si>
    <t>SODIUM HYPOCHLORITE DOSING STAGE 2 FLOWMETER - EXTERNAL DISPLAY PANEL
(ME-D-HYP-INS6)</t>
  </si>
  <si>
    <t>ME-D-HYP-INS6-I2</t>
  </si>
  <si>
    <t>78898.974 &amp; 
78898.954</t>
  </si>
  <si>
    <t>ME-D-HYP-INS6-I1</t>
  </si>
  <si>
    <t>SODIUM HYPOCHLORITE DOSING STAGE 1 FLOWMETER
(ME-D-HYP-INS5)</t>
  </si>
  <si>
    <t>SODIUM HYPOCHLORITE DOSING STAGE 1 FLOWMETER - EXTERNAL DISPLAY PANEL
(ME-D-HYP-INS5)</t>
  </si>
  <si>
    <t>ME-D-HYP-INS5-I2</t>
  </si>
  <si>
    <t>78898.975 &amp; 
78898.954</t>
  </si>
  <si>
    <t>ME-D-HYP-INS5-I1</t>
  </si>
  <si>
    <t>SODIUM HYPOCHLORITE DOSING TANK 2 LEVEL SENSOR
(ME-D-HYP-INS16)</t>
  </si>
  <si>
    <t>SODIUM HYPOCHLORITE DOSING TANK 2 LEVEL SENSOR - EXTERNAL DISPLAY PANEL
(ME-D-HYP-INS16)</t>
  </si>
  <si>
    <t>ME-D-HYP-INS16-I2</t>
  </si>
  <si>
    <t>78898.965 &amp; 
78898.954</t>
  </si>
  <si>
    <t>Existing cable:
IP-INS16-C1
TBD if can be reused.</t>
  </si>
  <si>
    <t>ME-D-HYP-INS16-I1</t>
  </si>
  <si>
    <t>SODIUM HYPOCHLORITE DOSING TANK 1 LEVEL SENSOR
(ME-D-HYP-INS15)</t>
  </si>
  <si>
    <t>SODIUM HYPOCHLORITE DOSING TANK 1 LEVEL SENSOR - EXTERNAL DISPLAY PANEL
(ME-D-HYP-INS15-I1)</t>
  </si>
  <si>
    <t>ME-D-HYP-INS15-I2</t>
  </si>
  <si>
    <t>Existing cable:
IP-INS15-C1
TBD if can be reused.</t>
  </si>
  <si>
    <t>SODIUM HYPOCHLORITE DOSING TANK 1 LEVEL SENSOR - EXTERNAL DISPLAY PANEL
(ME-D-HYP-INS15)</t>
  </si>
  <si>
    <t>ME-D-HYP-INS15-I1</t>
  </si>
  <si>
    <r>
      <t xml:space="preserve">DOSING PUMP 8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</si>
  <si>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PVC/PVC V90, 0.6/1kV 
WHITE CORES, BLACK NUMERALS, BLACK SHEATH</t>
  </si>
  <si>
    <t>Control</t>
  </si>
  <si>
    <t>4C+E</t>
  </si>
  <si>
    <t>PLANT CONTROL PLC 2 CABINET BIO-SOLIDS HANDLING BUILDING
(ME-OC-BLD1-SBD4)</t>
  </si>
  <si>
    <t>ODOUR CONTROL FACILITY MOTOR LOAD CENTRE
ME-OC-BLD1-MCC9</t>
  </si>
  <si>
    <t>ME-OC-BLD1-SBD4-PMP8-C1</t>
  </si>
  <si>
    <r>
      <t xml:space="preserve">DOSING PUMP 7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</si>
  <si>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ME-OC-BLD1-SBD4-PMP7-C1</t>
  </si>
  <si>
    <r>
      <t xml:space="preserve">DOSING PUMP 6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</si>
  <si>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ME-OC-BLD1-SBD4-PMP6-C1</t>
  </si>
  <si>
    <r>
      <t xml:space="preserve">DOSING PUMP 5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</si>
  <si>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ME-OC-BLD1-SBD4-PMP5-C1</t>
  </si>
  <si>
    <r>
      <t xml:space="preserve">DOSING PUMP 4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</si>
  <si>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ME-OC-BLD1-SBD4-PMP4-C1</t>
  </si>
  <si>
    <r>
      <t xml:space="preserve">DOSING PUMP 3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</si>
  <si>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ME-OC-BLD1-SBD4-PMP3-C1</t>
  </si>
  <si>
    <r>
      <t xml:space="preserve">DOSING PUMP 2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</si>
  <si>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ME-OC-BLD1-SBD4-PMP2-C1</t>
  </si>
  <si>
    <r>
      <t xml:space="preserve">DOSING PUMP 1
</t>
    </r>
    <r>
      <rPr>
        <sz val="11"/>
        <color rgb="FFFF0000"/>
        <rFont val="Calibri"/>
        <family val="2"/>
        <scheme val="minor"/>
      </rPr>
      <t xml:space="preserve">TBD if existing cable can be reused </t>
    </r>
  </si>
  <si>
    <t>ME-OC-BLD1-SBD4-PMP1-C1</t>
  </si>
  <si>
    <t>2C+E</t>
  </si>
  <si>
    <t>SODIUM HYPOCHLORITE DOSING DEGASSING SOLENOID VALVE
(ME-D-HYP-VLV205)</t>
  </si>
  <si>
    <t>ME-D-HYP-VLV222-C1</t>
  </si>
  <si>
    <t>Westwater JB drawing TBD</t>
  </si>
  <si>
    <t>SODIUM HYPOCHLORITE DOSING DOSING PUMP 8
(ME-D-HYP-PMP8)</t>
  </si>
  <si>
    <t>SODIUM HYPOCHLORITE PUMP SKID (STAGE 4/5)- JUNCTION BOX</t>
  </si>
  <si>
    <t>ME-D-HYP-PMP8-C3</t>
  </si>
  <si>
    <t>SODIUM HYPOCHLORITE PUMP 8 - LCS</t>
  </si>
  <si>
    <t>ME-D-HYP-PMP8-C2</t>
  </si>
  <si>
    <t xml:space="preserve">10C+E </t>
  </si>
  <si>
    <t>ODOUR CONTROL FACILITY MOTOR LOAD CENTRE
(ME-OC-BLD1-MCC9)</t>
  </si>
  <si>
    <t>ME-D-HYP-PMP8-C1</t>
  </si>
  <si>
    <t>230VAC</t>
  </si>
  <si>
    <t>Power</t>
  </si>
  <si>
    <t>ME-D-HYP-PMP8-P3</t>
  </si>
  <si>
    <t xml:space="preserve">PVC/PVC V90, 0.6/1kV </t>
  </si>
  <si>
    <t>ME-D-HYP-PMP8-P2</t>
  </si>
  <si>
    <t>ME-D-HYP-PMP8-P1</t>
  </si>
  <si>
    <t>SODIUM HYPOCHLORITE DOSING DOSING PUMP 7
(ME-D-HYP-PMP7)</t>
  </si>
  <si>
    <t>ME-D-HYP-PMP7-C3</t>
  </si>
  <si>
    <t>SODIUM HYPOCHLORITE PUMP 7 - LCS</t>
  </si>
  <si>
    <t>ME-D-HYP-PMP7-C2</t>
  </si>
  <si>
    <t>ME-D-HYP-PMP7-C1</t>
  </si>
  <si>
    <t>ME-D-HYP-PMP7-P3</t>
  </si>
  <si>
    <t>ME-D-HYP-PMP7-P2</t>
  </si>
  <si>
    <t>ME-D-HYP-PMP7-P1</t>
  </si>
  <si>
    <t>SODIUM HYPOCHLORITE DOSING DEGASSING SOLENOID VALVE
(ME-D-HYP-VLV204)</t>
  </si>
  <si>
    <t>ME-D-HYP-VLV218-C1</t>
  </si>
  <si>
    <t>SODIUM HYPOCHLORITE DOSING DOSING PUMP 6
(ME-D-HYP-PMP6)</t>
  </si>
  <si>
    <t>SODIUM HYPOCHLORITE PUMP SKID (STAGE 3)- JUNCTION BOX</t>
  </si>
  <si>
    <t>ME-D-HYP-PMP6-C3</t>
  </si>
  <si>
    <t>SODIUM HYPOCHLORITE PUMP 6 - LCS</t>
  </si>
  <si>
    <t>ME-D-HYP-PMP6-C2</t>
  </si>
  <si>
    <t>ME-D-HYP-PMP6-C1</t>
  </si>
  <si>
    <t>ME-D-HYP-PMP6-P3</t>
  </si>
  <si>
    <t>ME-D-HYP-PMP6-P2</t>
  </si>
  <si>
    <t>ME-D-HYP-PMP6-P1</t>
  </si>
  <si>
    <t>SODIUM HYPOCHLORITE DOSING DOSING PUMP 5
(ME-D-HYP-PMP5)</t>
  </si>
  <si>
    <t>ME-D-HYP-PMP5-C3</t>
  </si>
  <si>
    <t>SODIUM HYPOCHLORITE PUMP 5 - LCS</t>
  </si>
  <si>
    <t>ME-D-HYP-PMP5-C2</t>
  </si>
  <si>
    <t>ME-D-HYP-PMP5-C1</t>
  </si>
  <si>
    <t>ME-D-HYP-PMP5-P3</t>
  </si>
  <si>
    <t>ME-D-HYP-PMP5-P2</t>
  </si>
  <si>
    <t>ME-D-HYP-PMP5-P1</t>
  </si>
  <si>
    <t>SODIUM HYPOCHLORITE DOSING DEGASSING SOLENOID VALVE
(ME-D-HYP-VLV203)</t>
  </si>
  <si>
    <t>ME-D-HYP-VLV214-C1</t>
  </si>
  <si>
    <t>SODIUM HYPOCHLORITE DOSING DOSING PUMP 4
(ME-D-HYP-PMP4)</t>
  </si>
  <si>
    <t>SODIUM HYPOCHLORITE PUMP SKID (STAGE 2)- JUNCTION BOX</t>
  </si>
  <si>
    <t>ME-D-HYP-PMP4-C3</t>
  </si>
  <si>
    <t>SODIUM HYPOCHLORITE PUMP 4 - LCS</t>
  </si>
  <si>
    <t>ME-D-HYP-PMP4-C2</t>
  </si>
  <si>
    <t>ME-D-HYP-PMP4-C1</t>
  </si>
  <si>
    <t>ME-D-HYP-PMP4-P3</t>
  </si>
  <si>
    <t>ME-D-HYP-PMP4-P2</t>
  </si>
  <si>
    <t>ME-D-HYP-PMP4-P1</t>
  </si>
  <si>
    <t>SODIUM HYPOCHLORITE DOSING DOSING PUMP 3
(ME-D-HYP-PMP3)</t>
  </si>
  <si>
    <t>ME-D-HYP-PMP3-C3</t>
  </si>
  <si>
    <t>SODIUM HYPOCHLORITE PUMP 3 - LCS</t>
  </si>
  <si>
    <t>ME-D-HYP-PMP3-C2</t>
  </si>
  <si>
    <t>ME-D-HYP-PMP3-C1</t>
  </si>
  <si>
    <t>ME-D-HYP-PMP3-P3</t>
  </si>
  <si>
    <t>ME-D-HYP-PMP3-P2</t>
  </si>
  <si>
    <t>ME-D-HYP-PMP3-P1</t>
  </si>
  <si>
    <t>SODIUM HYPOCHLORITE DOSING DEGASSING SOLENOID VALVE
(ME-D-HYP-VLV202)</t>
  </si>
  <si>
    <t>ME-D-HYP-VLV210-C1</t>
  </si>
  <si>
    <t>SODIUM HYPOCHLORITE DOSING DOSING PUMP 2
(ME-D-HYP-PMP2)</t>
  </si>
  <si>
    <t>SODIUM HYPOCHLORITE PUMP SKID (STAGE 1)- JUNCTION BOX</t>
  </si>
  <si>
    <t>ME-D-HYP-PMP2-C3</t>
  </si>
  <si>
    <t>SODIUM HYPOCHLORITE PUMP 2 - LCS</t>
  </si>
  <si>
    <t>ME-D-HYP-PMP2-C2</t>
  </si>
  <si>
    <t>ME-D-HYP-PMP2-C1</t>
  </si>
  <si>
    <t>ME-D-HYP-PMP2-P3</t>
  </si>
  <si>
    <t>ME-D-HYP-PMP2-P2</t>
  </si>
  <si>
    <t>ME-D-HYP-PMP2-P1</t>
  </si>
  <si>
    <t>SODIUM HYPOCHLORITE DOSING DOSING PUMP 1
(ME-D-HYP-PMP1)</t>
  </si>
  <si>
    <t>SODIUM HYPOCHLORITE PUMP SKID - JUNCTION BOX</t>
  </si>
  <si>
    <t>ME-D-HYP-PMP1-C3</t>
  </si>
  <si>
    <t>SODIUM HYPOCHLORITE PUMP 1 - LCS</t>
  </si>
  <si>
    <t>ME-D-HYP-PMP1-C2</t>
  </si>
  <si>
    <t>ME-D-HYP-PMP1-C1</t>
  </si>
  <si>
    <t>ME-D-HYP-PMP1-P3</t>
  </si>
  <si>
    <t>ME-D-HYP-PMP1-P2</t>
  </si>
  <si>
    <t>ME-D-HYP-PMP1-P1</t>
  </si>
  <si>
    <t>SODIUM HYPOCHLORITE TANK 3 AREA LIGHTING - L2</t>
  </si>
  <si>
    <t>SODIUM HYPOCHLORITE TANK 3 AREA LIGHTING - L1</t>
  </si>
  <si>
    <t>ME-D-HYP-TNK3-L2-P1</t>
  </si>
  <si>
    <t>D</t>
  </si>
  <si>
    <t>Extending Existing Lighting Circuit &amp; Adding RCD breaker</t>
  </si>
  <si>
    <t>ODOUR CONTROL FACILITY MOTOR LOAD CENTRE - LIGHT &amp; POWER DB
ME-OC-BLD1-SBD1</t>
  </si>
  <si>
    <t>ME-D-HYP-TNK3-L1-P1</t>
  </si>
  <si>
    <t>78898.611
(PDF Rev C) &amp; 
78898.666
&amp; 78898.951</t>
  </si>
  <si>
    <t>INSTRUMENT TO WIRE INTO EXISTING INLOADING GPO CELL</t>
  </si>
  <si>
    <t>SODIUM HYPOCHLORITE DOSING TANK 3 FLOAT SWITCH FOR HIGH HIGH LEVEL - JUNCTION BOX
(ME-D-HYP-TNK3-SW2)</t>
  </si>
  <si>
    <t>ME-D-HYP-TNK3-SW2-C1</t>
  </si>
  <si>
    <t>SODIUM HYPOCHLORITE PUMP 11 - LCS</t>
  </si>
  <si>
    <t>ME-D-HYP-PMP11-C1</t>
  </si>
  <si>
    <t>D.4</t>
  </si>
  <si>
    <t>WIRING SKETCH AVAILABLE</t>
  </si>
  <si>
    <t>24V DC</t>
  </si>
  <si>
    <t>STAGE 4/5 DISINFECTION CHAMBER LEVEL TRANSMITTER - FIELD CONTROLLER LCD
(ME-D-STAGE 4/5 DISINFECTION CHAMBER5-INS8)</t>
  </si>
  <si>
    <t>STAGE 4/5 DISINFECTION CHAMBER LEVEL TRANSMITTER- SURGE PROTECTOR JB AT CCT
(ME-D-STAGE 4/5 DISINFECTION CHAMBER5-INS8)</t>
  </si>
  <si>
    <t>ME-D-CCT5-INS8-P2</t>
  </si>
  <si>
    <r>
      <t>78898.507
(</t>
    </r>
    <r>
      <rPr>
        <b/>
        <sz val="11"/>
        <rFont val="Calibri"/>
        <family val="2"/>
        <scheme val="minor"/>
      </rPr>
      <t>QC17</t>
    </r>
    <r>
      <rPr>
        <sz val="11"/>
        <rFont val="Calibri"/>
        <family val="2"/>
        <scheme val="minor"/>
      </rPr>
      <t xml:space="preserve"> TO BE CAPTURED AT AS-BUILT)</t>
    </r>
  </si>
  <si>
    <t>JB NEXT TO CCT</t>
  </si>
  <si>
    <t>MCC 8 - CONTROL 24VDC DISTRIBUTION
(ME-D-BLD2-MCC8)</t>
  </si>
  <si>
    <t>ME-D-CCT5-INS8-P1</t>
  </si>
  <si>
    <t>MCC8 SWITCHROOM WALL MOUNTED JB 1 - ACTIVE PROFIBUS TERMINATOR
(ME-D-BLD2-JB1)</t>
  </si>
  <si>
    <t>ME-EF-RW-PS1-JB1-P1</t>
  </si>
  <si>
    <t>YES</t>
  </si>
  <si>
    <t xml:space="preserve">6C+E </t>
  </si>
  <si>
    <t>RWTP FEED WATER PUMP 1 LCS
(ME-EF-RW-PS1-PMP1)</t>
  </si>
  <si>
    <t>SERVICE WATER BUILDING MOTOR LOAD CENTRE
(ME-D-BLD2-MCC8)</t>
  </si>
  <si>
    <t>ME-EF-RW-PS1-PMP1-C2</t>
  </si>
  <si>
    <t xml:space="preserve">15C+E </t>
  </si>
  <si>
    <t>RWTP FEED WATER PUMP 1 VSD
(ME-EF-RW-PS1-PMP1)</t>
  </si>
  <si>
    <t>ME-EF-RW-PS1-PMP1-C1</t>
  </si>
  <si>
    <t xml:space="preserve">PVC/PVC INSTRUMENTATION (DEKORON) </t>
  </si>
  <si>
    <t>TRUCK FILLER FEEDLINE FLOWMETER
(ME-EF-RW-FLW4)</t>
  </si>
  <si>
    <t>MARSHALLING PANEL
(ME-EF-RW-SBD3)</t>
  </si>
  <si>
    <t>ME-EF-RW-FLW4-I1</t>
  </si>
  <si>
    <t>NEW @10/05/22</t>
  </si>
  <si>
    <t>ALUMINIUM SULPHATE FLOAT SWITCH FOR BUND SUMP
(ME-EF-RW-BCH1-SW1)</t>
  </si>
  <si>
    <t>ME-EF-RW-BCH1-SW1-C1</t>
  </si>
  <si>
    <t>D.2</t>
  </si>
  <si>
    <t>10C+E</t>
  </si>
  <si>
    <t>BACKWASH TANK OUTLET ACTUATOR ON CONTROL VALVE
(ME-EF-RW-TNK2-VLV1)</t>
  </si>
  <si>
    <t>BACKWASH TANK OUTLET ACTUATOR ON CONTROL VALVE - JUNCTION BOX
(ME-EF-RW-TNK2-VLV1)</t>
  </si>
  <si>
    <t>ME-EF-RW-TNK2-VLV1-C2</t>
  </si>
  <si>
    <t>50295.565 - 50295.63O - 50295.634</t>
  </si>
  <si>
    <t>PCS CUBICLE
(ME-EF-RW-CUB1)</t>
  </si>
  <si>
    <t>ME-EF-RW-TNK2-VLV1-C1</t>
  </si>
  <si>
    <t>50295.620 &amp; FERRIER SET</t>
  </si>
  <si>
    <t>BACKWASH TANK FLOAT SWITCH FOR HIGH HIGH LEVEL
(ME-EF-RW-TNK2-SW1)</t>
  </si>
  <si>
    <t>BACKWASH TANK FLOAT SWITCH FOR HIGH HIGH LEVEL - INSTRUMENTATION BOX
(ME-EF-RW-TNK2-SW1)</t>
  </si>
  <si>
    <t>ME-EF-RW-TNK2-SW1-C2</t>
  </si>
  <si>
    <t>ME-EF-RW-TNK2-SW1-C1</t>
  </si>
  <si>
    <t>RECYCLED WATER STORAGE TANK FLOAT SWITCH FOR LOW LOW LEVEL
(ME-EF-RW-TNK1-SW1)</t>
  </si>
  <si>
    <t>RECYCLED WATER STORAGE TANK FLOAT SWITCH FOR LOW LOW LEVEL - INSTRUMENTATION BOX 
(ME-EF-RW-TNK1-SW1)</t>
  </si>
  <si>
    <t>ME-EF-RW-TNK1-SW1-C2</t>
  </si>
  <si>
    <t>ME-EF-RW-TNK1-SW1-C1</t>
  </si>
  <si>
    <t>50295.512 &amp; 50295.615</t>
  </si>
  <si>
    <t>RWTP ANALYSER BUILDING EMERGENCY LIGHTING CIRCUIT 1</t>
  </si>
  <si>
    <t>RWTP ANALYSER BUILDING - LIGHTING &amp; SMALL POWER DB
(ME-EF-RW-SBD2)</t>
  </si>
  <si>
    <t>ME-EF-RW-SBD2-Q7</t>
  </si>
  <si>
    <t>RWTP ANALYSER BUILDING AIR CONDITIONER
COMPRESSOR</t>
  </si>
  <si>
    <t>RWTP ANALYSER BUILDING AIR CONDITIONER
ISOLATOR</t>
  </si>
  <si>
    <t>ME-EF-RW-SBD2-Q5B</t>
  </si>
  <si>
    <t>ME-EF-RW-SBD2-Q5A</t>
  </si>
  <si>
    <t>RWTP ANALYSER BUILDING 1PH SOCKET CIRCUIT 2 - SO4</t>
  </si>
  <si>
    <t>RWTP ANALYSER BUILDING 1PH SOCKET CIRCUIT 2 - SO3</t>
  </si>
  <si>
    <t>ME-EF-RW-SBD2-Q4C</t>
  </si>
  <si>
    <t>RWTP ANALYSER BUILDING 1PH SOCKET CIRCUIT 2 - SO2</t>
  </si>
  <si>
    <t>ME-EF-RW-SBD2-Q4B</t>
  </si>
  <si>
    <t>ME-EF-RW-SBD2-Q4A</t>
  </si>
  <si>
    <t>RWTP ANALYSER BUILDING 1PH SOCKET CIRCUIT 1 - SO1</t>
  </si>
  <si>
    <t>ME-EF-RW-SBD2-Q3</t>
  </si>
  <si>
    <t>RWTP ANALYSER BUILDING LIGHTING - LIGHT CIRCUIT 2 - L2A
LIGHTS</t>
  </si>
  <si>
    <t>RWTP ANALYSER BUILDING LIGHTING - LIGHT CIRCUIT 2 - L2B
LIGHTS</t>
  </si>
  <si>
    <t>ME-EF-RW-SBD2-Q2A</t>
  </si>
  <si>
    <t>RWTP ANALYSER BUILDING LIGHTING - LIGHT CIRCUIT L2A-LB 
LIGHT SWITCH</t>
  </si>
  <si>
    <t>ME-EF-RW-SBD2-Q2B</t>
  </si>
  <si>
    <t>ME-EF-RW-SBD2-Q2</t>
  </si>
  <si>
    <t>RWTP OUTDOOR PROCESS AREA LIGHTING - LIGHT CIRCUIT 1  - L1G
[PE CELL]</t>
  </si>
  <si>
    <t>RWTP OUTDOOR PROCESS AREA LIGHTING - LIGHT CIRCUIT 1  - L1F
[PE CELL]</t>
  </si>
  <si>
    <t>ME-EF-RW-SBD2-Q1G</t>
  </si>
  <si>
    <t>RWTP OUTDOOR PROCESS AREA LIGHTING - LIGHT CIRCUIT 1  - L1E
[PE CELL]</t>
  </si>
  <si>
    <t>ME-EF-RW-SBD2-Q1F</t>
  </si>
  <si>
    <t>RWTP OUTDOOR PROCESS AREA LIGHTING - LIGHT CIRCUIT 1  - L1D
[PE CELL]</t>
  </si>
  <si>
    <t>ME-EF-RW-SBD2-Q1E</t>
  </si>
  <si>
    <t>RWTP OUTDOOR PROCESS AREA LIGHTING - LIGHT CIRCUIT 1  - L1C
[PE CELL]</t>
  </si>
  <si>
    <t>ME-EF-RW-SBD2-Q1D</t>
  </si>
  <si>
    <t>RWTP OUTDOOR PROCESS AREA LIGHTING - LIGHT CIRCUIT 1  - L1B
[PE CELL]</t>
  </si>
  <si>
    <t>ME-EF-RW-SBD2-Q1C</t>
  </si>
  <si>
    <t>RWTP OUTDOOR PROCESS AREA LIGHTING - LIGHT CIRCUIT 1  - L1A
[PE CELL]</t>
  </si>
  <si>
    <t>ME-EF-RW-SBD2-Q1B</t>
  </si>
  <si>
    <t>50295.512 &amp; 50295.614</t>
  </si>
  <si>
    <t>ME-EF-RW-SBD2-Q1A</t>
  </si>
  <si>
    <t>50295.506 &amp; 50295.512</t>
  </si>
  <si>
    <t>NOTE: 
Rev C order done on 3C+E; excess</t>
  </si>
  <si>
    <t xml:space="preserve">4C+E </t>
  </si>
  <si>
    <t>RWTP MOTOR LOAD CENTRE
(ME-EF-RW-MLC1)</t>
  </si>
  <si>
    <t>ME-EF-RW-SBD2-P1</t>
  </si>
  <si>
    <t>415VAC</t>
  </si>
  <si>
    <t>3C+E</t>
  </si>
  <si>
    <t>RWTP SWITCHROOM AIR CONDITIONER (3PH)
COMPRESSOR</t>
  </si>
  <si>
    <t>RWTP SWITCHROOM AIR CONDITIONER (3PH)
ISOLATOR</t>
  </si>
  <si>
    <t>ME-EF-RW-MLC1-Q20B</t>
  </si>
  <si>
    <t>ME-EF-RW-MLC1-Q20A</t>
  </si>
  <si>
    <t>50295.507 - 50295.516</t>
  </si>
  <si>
    <t>PCS CUBICLE - 230VAC DISTRIBUTION
(ME-EF-RW-CUB1)</t>
  </si>
  <si>
    <t>ME-EF-RW-MLC1-Q19</t>
  </si>
  <si>
    <t>EXISTING</t>
  </si>
  <si>
    <t>VENTILATION EXTRACTION FAN 4 SUPPLY</t>
  </si>
  <si>
    <t>ME-EF-RW-MLC1-Q16</t>
  </si>
  <si>
    <t>VENTILATION EXTRACTION FAN 3 SUPPLY</t>
  </si>
  <si>
    <t>ME-EF-RW-MLC1-Q15</t>
  </si>
  <si>
    <t>VENTILATION EXTRACTION FAN 2 SUPPLY</t>
  </si>
  <si>
    <t>ME-EF-RW-MLC1-Q14</t>
  </si>
  <si>
    <t>VENTILATION EXTRACTION FAN 1 SUPPLY</t>
  </si>
  <si>
    <t>ME-EF-RW-MLC1-Q13</t>
  </si>
  <si>
    <t>RWTP SWITCHROOM - EMERGENCY LIGHTING CIRCUIT EL1</t>
  </si>
  <si>
    <t>ME-EF-RW-MLC1-Q11</t>
  </si>
  <si>
    <t>STORAGE BUILDING - LIGHT CIRCUIT L5
[PE CELL]
(ROAD LIGHTING? TBD)</t>
  </si>
  <si>
    <t>ME-EF-RW-MLC1-Q10</t>
  </si>
  <si>
    <t>STORAGE BUILDING - LIGHT CIRCUIT L4
[PE CELL]
(EXTERNAL TO BUILDING)</t>
  </si>
  <si>
    <t>ME-EF-RW-MLC1-Q9</t>
  </si>
  <si>
    <t>STORAGE BUILDING - LIGHT CIRCUIT L3
(TOILET/CHEM STORAGE? TBD)</t>
  </si>
  <si>
    <t>ME-EF-RW-MLC1-Q8</t>
  </si>
  <si>
    <t>STORAGE BUILDING - LIGHT CIRCUIT L2
(MAIN STORAGE SHED)</t>
  </si>
  <si>
    <t>ME-EF-RW-MLC1-Q7</t>
  </si>
  <si>
    <t>STORAGE BUILDING - LIGHT CIRCUIT L1
(RWTP SWITCHROOM &amp; CHEM STORAGE)</t>
  </si>
  <si>
    <t>ME-EF-RW-MLC1-Q6</t>
  </si>
  <si>
    <t>STORAGE BUILDING - 1PH SOCKET OUTLETS SO5
(MAIN STORAGE SHED)</t>
  </si>
  <si>
    <t>ME-EF-RW-MLC1-Q5</t>
  </si>
  <si>
    <t>STORAGE BUILDING - 1PH SOCKET OUTLETS SO4
(RWTP SWITCHROOM &amp; CHEM STORAGE AREA)</t>
  </si>
  <si>
    <t>ME-EF-RW-MLC1-Q4</t>
  </si>
  <si>
    <t>STORAGE BUILDING - 3PH SOCKET OUTLET SO3
(ROLLER DOOR SOUTH)</t>
  </si>
  <si>
    <t>ME-EF-RW-MLC1-Q3</t>
  </si>
  <si>
    <t>STORAGE BUILDING - 3PH SOCKET OUTLET SO2
(ROLLER DOOR NORTH)</t>
  </si>
  <si>
    <t>ME-EF-RW-MLC1-Q2</t>
  </si>
  <si>
    <t>STORAGE BUILDING - 3PH SOCKET OUTLET SO1
(WEST WALL EXTERNAL TO BUILDING)</t>
  </si>
  <si>
    <t>ME-EF-RW-MLC1-Q1</t>
  </si>
  <si>
    <t>50295.513 &amp; 50295.585</t>
  </si>
  <si>
    <t>UNIT CTs</t>
  </si>
  <si>
    <t>PVC/PVC V90, 0.6/1kV</t>
  </si>
  <si>
    <t>6C+E</t>
  </si>
  <si>
    <t>AHF UNIT
(ME-EF-RW-PQC1)</t>
  </si>
  <si>
    <t>ME-EF-RW-PQC1-P2</t>
  </si>
  <si>
    <t>ALUMINIUM SULPHATE DOSING PUMP SKID - JUNCTION BOX</t>
  </si>
  <si>
    <t>ALUMINIUM SULPHATE DOSING PUMP 2 - LCS</t>
  </si>
  <si>
    <t>ME-EF-RW-BCH1-PMP2-C3</t>
  </si>
  <si>
    <t>ME-EF-RW-BCH1-PMP2-P2</t>
  </si>
  <si>
    <t>ALUMINIUM SULPHATE DOSING PUMP 1 - LCS</t>
  </si>
  <si>
    <t>ME-EF-RW-BCH1-PMP1-P2</t>
  </si>
  <si>
    <t>50295.578 &amp; 50295.634</t>
  </si>
  <si>
    <t>DIGITAL OUTPUT FOR POWER SUPPLY ON VIA K2</t>
  </si>
  <si>
    <t>ALUMINIUM SULPHATE UNLOADING PANEL
(ME-EF-RW-BCH1-CPN1)</t>
  </si>
  <si>
    <t>ME-EF-RW-BCH1-CPN1-C4</t>
  </si>
  <si>
    <t>50295.578 - 50295.579
&amp; 50295.016
(FERRIER SET)</t>
  </si>
  <si>
    <t>3PH SOCKET TRUCK TRANSFER PUMP FROM CELL</t>
  </si>
  <si>
    <t>ME-EF-RW-BCH1-CPN1-P2</t>
  </si>
  <si>
    <t>50295.506 - 50295.598</t>
  </si>
  <si>
    <t>BOTTOM-ENTRY</t>
  </si>
  <si>
    <t>PVC V90, 0.6/1kV
GREEN/YELLOW</t>
  </si>
  <si>
    <t>Earth</t>
  </si>
  <si>
    <t>1C</t>
  </si>
  <si>
    <t xml:space="preserve"> GENERATOR BUILDING MAIN SWITCHBOARD
(MCC3)
</t>
  </si>
  <si>
    <t>ME-EF-RW-MLC1-E1</t>
  </si>
  <si>
    <t>50295.651
(LAIS SET)</t>
  </si>
  <si>
    <t>EXISTING
BOTTOM-ENTRY</t>
  </si>
  <si>
    <t>XLPE/PVC V90, 0.6/1kV</t>
  </si>
  <si>
    <t>ME-EF-RW-MLC1-N2</t>
  </si>
  <si>
    <t>ME-EF-RW-MLC1-N1</t>
  </si>
  <si>
    <t>ME-EF-RW-MLC1-P6</t>
  </si>
  <si>
    <t>ME-EF-RW-MLC1-P5</t>
  </si>
  <si>
    <t>ME-EF-RW-MLC1-P4</t>
  </si>
  <si>
    <t>ME-EF-RW-MLC1-P3</t>
  </si>
  <si>
    <t>ME-EF-RW-MLC1-P2</t>
  </si>
  <si>
    <t>Total Cable CSA</t>
  </si>
  <si>
    <t>DRAWING</t>
  </si>
  <si>
    <t>GLAND TYPE</t>
  </si>
  <si>
    <t>GLAND SIZE</t>
  </si>
  <si>
    <t>REMARKS</t>
  </si>
  <si>
    <t>TO ROTORK LADDER
(YES/NO)</t>
  </si>
  <si>
    <t>P4-P5 CONDUITS
(YES/NO)</t>
  </si>
  <si>
    <t>RWTP SWR CONDUITS
(YES/NO)</t>
  </si>
  <si>
    <t>VIA NEW CONDUIT WALL (YES/NO)</t>
  </si>
  <si>
    <t>APPROX. 
LENGTH 
(m)</t>
  </si>
  <si>
    <t>SYSTEM VOLTAGE</t>
  </si>
  <si>
    <t>INSULATION AND SHEATH</t>
  </si>
  <si>
    <t>TYPE</t>
  </si>
  <si>
    <t>CORES</t>
  </si>
  <si>
    <t>OD 
(mm)</t>
  </si>
  <si>
    <t>CSA 
(mm²)</t>
  </si>
  <si>
    <t>CONDUCTOR</t>
  </si>
  <si>
    <t>FINISH</t>
  </si>
  <si>
    <t>START</t>
  </si>
  <si>
    <t>CABLE NUMBER</t>
  </si>
  <si>
    <t xml:space="preserve">REV </t>
  </si>
  <si>
    <t>ME-EF-RW-MLC1-P1</t>
  </si>
  <si>
    <t>Circuit breaker type (e.g. ACB):</t>
  </si>
  <si>
    <t>Yes    /    No</t>
  </si>
  <si>
    <t>Protection Settings (if applicable)</t>
  </si>
  <si>
    <t>Circuit Breaker Details</t>
  </si>
  <si>
    <t>Earth Fault Loop Impedance Measured Value:</t>
  </si>
  <si>
    <r>
      <t>I</t>
    </r>
    <r>
      <rPr>
        <vertAlign val="subscript"/>
        <sz val="16"/>
        <color theme="1"/>
        <rFont val="Arial Narrow"/>
        <family val="2"/>
      </rPr>
      <t>sd</t>
    </r>
  </si>
  <si>
    <r>
      <t>t</t>
    </r>
    <r>
      <rPr>
        <vertAlign val="subscript"/>
        <sz val="16"/>
        <color theme="1"/>
        <rFont val="Arial Narrow"/>
        <family val="2"/>
      </rPr>
      <t>sd</t>
    </r>
  </si>
  <si>
    <r>
      <t>I</t>
    </r>
    <r>
      <rPr>
        <vertAlign val="subscript"/>
        <sz val="16"/>
        <color theme="1"/>
        <rFont val="Arial Narrow"/>
        <family val="2"/>
      </rPr>
      <t>g</t>
    </r>
  </si>
  <si>
    <r>
      <t>t</t>
    </r>
    <r>
      <rPr>
        <vertAlign val="subscript"/>
        <sz val="16"/>
        <color theme="1"/>
        <rFont val="Arial Narrow"/>
        <family val="2"/>
      </rPr>
      <t>g</t>
    </r>
  </si>
  <si>
    <r>
      <t>I</t>
    </r>
    <r>
      <rPr>
        <vertAlign val="subscript"/>
        <sz val="16"/>
        <color theme="1"/>
        <rFont val="Arial Narrow"/>
        <family val="2"/>
      </rPr>
      <t>o</t>
    </r>
  </si>
  <si>
    <r>
      <t>l</t>
    </r>
    <r>
      <rPr>
        <vertAlign val="subscript"/>
        <sz val="16"/>
        <color theme="1"/>
        <rFont val="Arial Narrow"/>
        <family val="2"/>
      </rPr>
      <t>i</t>
    </r>
  </si>
  <si>
    <r>
      <t>t</t>
    </r>
    <r>
      <rPr>
        <vertAlign val="subscript"/>
        <sz val="16"/>
        <color theme="1"/>
        <rFont val="Arial Narrow"/>
        <family val="2"/>
      </rPr>
      <t>r</t>
    </r>
  </si>
  <si>
    <r>
      <t>I</t>
    </r>
    <r>
      <rPr>
        <vertAlign val="subscript"/>
        <sz val="16"/>
        <color theme="1"/>
        <rFont val="Arial Narrow"/>
        <family val="2"/>
      </rPr>
      <t>r</t>
    </r>
  </si>
  <si>
    <t>Merrimac STP Upgrade</t>
  </si>
  <si>
    <t>W22-020</t>
  </si>
  <si>
    <t>GCCC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</si>
</sst>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PD-A3E-W*-&quot;0000;[Red]&quot;Incorrect Input&quot;;&quot;&quot;;&quot;PD-A3E-W&quot;@"/>
    <numFmt numFmtId="165" formatCode="&quot;PD-A3E-WX-&quot;0000;[Red]&quot;Incorrect Input&quot;;&quot;&quot;;&quot;PD-A3E-W&quot;@"/>
    <numFmt numFmtId="166" formatCode="&quot;PD-A3E-WS-&quot;0000;[Red]&quot;Incorrect Input&quot;;&quot;&quot;;@"/>
    <numFmt numFmtId="167" formatCode="&quot;PD-A3E-WC-&quot;0000;[Red]&quot;Incorrect Input&quot;;&quot;&quot;;@"/>
    <numFmt numFmtId="168" formatCode="&quot;$&quot;#,##0\ ;\(&quot;$&quot;#,##0\)"/>
    <numFmt numFmtId="169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8"/>
      <name val="Arial"/>
      <family val="2"/>
    </font>
    <font>
      <u/>
      <sz val="7"/>
      <color theme="10"/>
      <name val="Arial"/>
      <family val="2"/>
    </font>
    <font>
      <sz val="9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i/>
      <u/>
      <sz val="9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Arial Narrow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0"/>
      <color indexed="8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i/>
      <u/>
      <sz val="16"/>
      <color theme="1"/>
      <name val="Arial"/>
      <family val="2"/>
    </font>
    <font>
      <sz val="20"/>
      <color theme="1"/>
      <name val="Wingdings"/>
      <charset val="2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9"/>
      <color theme="1"/>
      <name val="Arial Narrow"/>
      <family val="2"/>
    </font>
    <font>
      <sz val="10"/>
      <color theme="1"/>
      <name val="Arial Narrow"/>
      <family val="2"/>
    </font>
    <font>
      <b/>
      <sz val="14"/>
      <color theme="1"/>
      <name val="Arial"/>
      <family val="2"/>
    </font>
    <font>
      <sz val="14"/>
      <color theme="1"/>
      <name val="Arial Narrow"/>
      <family val="2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6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6">
    <xf numFmtId="0" fontId="0" fillId="0" borderId="0"/>
    <xf numFmtId="0" fontId="6" fillId="0" borderId="0"/>
    <xf numFmtId="0" fontId="6" fillId="0" borderId="0"/>
    <xf numFmtId="0" fontId="13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3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2" fontId="6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6" fillId="0" borderId="44">
      <alignment horizontal="right"/>
    </xf>
    <xf numFmtId="167" fontId="6" fillId="0" borderId="44">
      <alignment horizontal="right"/>
    </xf>
    <xf numFmtId="166" fontId="6" fillId="0" borderId="44">
      <alignment horizontal="right"/>
    </xf>
    <xf numFmtId="165" fontId="6" fillId="0" borderId="44">
      <alignment horizontal="right"/>
    </xf>
    <xf numFmtId="0" fontId="6" fillId="0" borderId="45" applyNumberFormat="0" applyFont="0" applyFill="0" applyAlignment="0" applyProtection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" fillId="0" borderId="0"/>
    <xf numFmtId="9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26" fillId="5" borderId="0" applyNumberFormat="0" applyBorder="0" applyAlignment="0" applyProtection="0"/>
  </cellStyleXfs>
  <cellXfs count="292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vertical="top" wrapText="1"/>
    </xf>
    <xf numFmtId="0" fontId="7" fillId="3" borderId="24" xfId="0" applyFont="1" applyFill="1" applyBorder="1" applyAlignment="1">
      <alignment horizontal="justify" vertical="center" wrapText="1"/>
    </xf>
    <xf numFmtId="0" fontId="7" fillId="3" borderId="25" xfId="0" applyFont="1" applyFill="1" applyBorder="1" applyAlignment="1">
      <alignment horizontal="justify" vertical="center" wrapText="1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/>
    </xf>
    <xf numFmtId="0" fontId="18" fillId="0" borderId="0" xfId="0" applyFont="1" applyAlignment="1">
      <alignment vertical="center"/>
    </xf>
    <xf numFmtId="0" fontId="19" fillId="0" borderId="17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left" vertical="center" wrapText="1"/>
    </xf>
    <xf numFmtId="0" fontId="19" fillId="0" borderId="42" xfId="0" applyFont="1" applyBorder="1" applyAlignment="1">
      <alignment horizontal="center" vertical="center" wrapText="1"/>
    </xf>
    <xf numFmtId="0" fontId="11" fillId="0" borderId="0" xfId="0" applyFont="1"/>
    <xf numFmtId="0" fontId="18" fillId="0" borderId="4" xfId="0" applyFont="1" applyBorder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6" fillId="0" borderId="0" xfId="0" applyFont="1" applyAlignment="1">
      <alignment horizontal="right"/>
    </xf>
    <xf numFmtId="0" fontId="19" fillId="0" borderId="4" xfId="0" applyFont="1" applyBorder="1" applyAlignment="1">
      <alignment vertical="center"/>
    </xf>
    <xf numFmtId="0" fontId="19" fillId="0" borderId="3" xfId="0" applyFont="1" applyBorder="1"/>
    <xf numFmtId="0" fontId="19" fillId="0" borderId="4" xfId="0" applyFont="1" applyBorder="1" applyAlignment="1">
      <alignment horizontal="left"/>
    </xf>
    <xf numFmtId="0" fontId="19" fillId="0" borderId="4" xfId="0" applyFont="1" applyBorder="1"/>
    <xf numFmtId="0" fontId="19" fillId="0" borderId="22" xfId="0" applyFont="1" applyBorder="1" applyAlignment="1">
      <alignment vertical="center" wrapText="1"/>
    </xf>
    <xf numFmtId="0" fontId="19" fillId="0" borderId="13" xfId="0" applyFont="1" applyBorder="1" applyAlignment="1">
      <alignment vertical="center" wrapText="1"/>
    </xf>
    <xf numFmtId="0" fontId="16" fillId="0" borderId="0" xfId="0" applyFont="1" applyAlignment="1">
      <alignment horizontal="right" vertical="center"/>
    </xf>
    <xf numFmtId="0" fontId="17" fillId="0" borderId="0" xfId="0" applyFont="1" applyAlignment="1">
      <alignment horizontal="right"/>
    </xf>
    <xf numFmtId="0" fontId="21" fillId="2" borderId="18" xfId="0" applyFont="1" applyFill="1" applyBorder="1" applyAlignment="1">
      <alignment vertical="center" wrapText="1"/>
    </xf>
    <xf numFmtId="0" fontId="21" fillId="2" borderId="19" xfId="0" applyFont="1" applyFill="1" applyBorder="1" applyAlignment="1">
      <alignment vertical="center" wrapText="1"/>
    </xf>
    <xf numFmtId="0" fontId="21" fillId="2" borderId="20" xfId="0" applyFont="1" applyFill="1" applyBorder="1" applyAlignment="1">
      <alignment vertical="center" wrapText="1"/>
    </xf>
    <xf numFmtId="0" fontId="21" fillId="2" borderId="24" xfId="0" applyFont="1" applyFill="1" applyBorder="1" applyAlignment="1">
      <alignment vertical="center" wrapText="1"/>
    </xf>
    <xf numFmtId="0" fontId="21" fillId="2" borderId="24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8" fillId="0" borderId="31" xfId="0" applyFont="1" applyBorder="1" applyAlignment="1">
      <alignment vertical="center" wrapText="1"/>
    </xf>
    <xf numFmtId="0" fontId="16" fillId="0" borderId="0" xfId="0" applyFont="1" applyAlignment="1">
      <alignment horizontal="left"/>
    </xf>
    <xf numFmtId="0" fontId="16" fillId="0" borderId="0" xfId="0" applyFont="1" applyAlignment="1">
      <alignment horizontal="left" vertical="center"/>
    </xf>
    <xf numFmtId="0" fontId="0" fillId="4" borderId="5" xfId="0" applyFill="1" applyBorder="1"/>
    <xf numFmtId="0" fontId="16" fillId="4" borderId="5" xfId="0" applyFont="1" applyFill="1" applyBorder="1" applyAlignment="1">
      <alignment horizontal="right"/>
    </xf>
    <xf numFmtId="0" fontId="16" fillId="4" borderId="5" xfId="0" applyFont="1" applyFill="1" applyBorder="1" applyAlignment="1">
      <alignment horizontal="left"/>
    </xf>
    <xf numFmtId="0" fontId="19" fillId="0" borderId="4" xfId="0" applyFont="1" applyBorder="1" applyAlignment="1">
      <alignment horizontal="left" vertical="center"/>
    </xf>
    <xf numFmtId="0" fontId="7" fillId="0" borderId="5" xfId="0" applyFont="1" applyBorder="1" applyAlignment="1">
      <alignment horizontal="justify" vertical="center" wrapText="1"/>
    </xf>
    <xf numFmtId="0" fontId="7" fillId="0" borderId="1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42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center" vertical="center"/>
    </xf>
    <xf numFmtId="0" fontId="29" fillId="0" borderId="0" xfId="0" applyFont="1"/>
    <xf numFmtId="0" fontId="29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5" fillId="0" borderId="14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35" fillId="0" borderId="5" xfId="0" applyFont="1" applyBorder="1" applyAlignment="1">
      <alignment horizontal="left" vertical="center" wrapText="1"/>
    </xf>
    <xf numFmtId="0" fontId="35" fillId="0" borderId="17" xfId="0" applyFont="1" applyBorder="1" applyAlignment="1">
      <alignment horizontal="left" vertical="center" wrapText="1"/>
    </xf>
    <xf numFmtId="0" fontId="36" fillId="2" borderId="50" xfId="0" applyFont="1" applyFill="1" applyBorder="1" applyAlignment="1">
      <alignment horizontal="center" vertical="center" wrapText="1"/>
    </xf>
    <xf numFmtId="0" fontId="37" fillId="2" borderId="51" xfId="0" applyFont="1" applyFill="1" applyBorder="1" applyAlignment="1">
      <alignment horizontal="center" vertical="center" wrapText="1"/>
    </xf>
    <xf numFmtId="0" fontId="33" fillId="2" borderId="55" xfId="0" applyFont="1" applyFill="1" applyBorder="1" applyAlignment="1">
      <alignment horizontal="center" vertical="center" wrapText="1"/>
    </xf>
    <xf numFmtId="0" fontId="33" fillId="2" borderId="56" xfId="0" applyFont="1" applyFill="1" applyBorder="1" applyAlignment="1">
      <alignment horizontal="center" vertical="center" wrapText="1"/>
    </xf>
    <xf numFmtId="0" fontId="19" fillId="0" borderId="3" xfId="0" applyFont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38" fillId="0" borderId="0" xfId="0" applyFont="1"/>
    <xf numFmtId="0" fontId="26" fillId="0" borderId="0" xfId="25" applyFill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 wrapText="1"/>
    </xf>
    <xf numFmtId="0" fontId="40" fillId="0" borderId="5" xfId="0" applyFont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center" vertical="top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7" fillId="0" borderId="5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/>
    </xf>
    <xf numFmtId="169" fontId="39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169" fontId="0" fillId="0" borderId="35" xfId="0" applyNumberFormat="1" applyBorder="1" applyAlignment="1">
      <alignment horizontal="center" vertical="center"/>
    </xf>
    <xf numFmtId="169" fontId="0" fillId="0" borderId="35" xfId="0" applyNumberFormat="1" applyBorder="1" applyAlignment="1">
      <alignment horizontal="center" vertical="center" wrapText="1"/>
    </xf>
    <xf numFmtId="0" fontId="27" fillId="0" borderId="35" xfId="0" applyFont="1" applyBorder="1" applyAlignment="1">
      <alignment horizontal="center" vertical="center" wrapText="1"/>
    </xf>
    <xf numFmtId="16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2" fillId="0" borderId="5" xfId="0" applyFont="1" applyBorder="1" applyAlignment="1">
      <alignment vertical="center" wrapText="1"/>
    </xf>
    <xf numFmtId="0" fontId="32" fillId="0" borderId="20" xfId="0" applyFont="1" applyBorder="1" applyAlignment="1">
      <alignment horizontal="center" vertical="center" wrapText="1"/>
    </xf>
    <xf numFmtId="0" fontId="31" fillId="0" borderId="14" xfId="0" applyFont="1" applyBorder="1" applyAlignment="1">
      <alignment vertical="center" wrapText="1"/>
    </xf>
    <xf numFmtId="0" fontId="25" fillId="0" borderId="5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8" xfId="0" applyFont="1" applyBorder="1" applyAlignment="1">
      <alignment vertical="center" wrapText="1"/>
    </xf>
    <xf numFmtId="0" fontId="25" fillId="0" borderId="5" xfId="0" applyFont="1" applyBorder="1" applyAlignment="1">
      <alignment vertical="center" wrapText="1"/>
    </xf>
    <xf numFmtId="0" fontId="32" fillId="0" borderId="14" xfId="0" applyFont="1" applyBorder="1" applyAlignment="1">
      <alignment horizontal="center" vertical="center" wrapText="1"/>
    </xf>
    <xf numFmtId="0" fontId="32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16" fillId="4" borderId="5" xfId="0" applyFont="1" applyFill="1" applyBorder="1" applyAlignment="1">
      <alignment horizontal="left"/>
    </xf>
    <xf numFmtId="0" fontId="0" fillId="0" borderId="5" xfId="0" applyBorder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1" fillId="2" borderId="32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7" xfId="0" applyFont="1" applyFill="1" applyBorder="1" applyAlignment="1">
      <alignment horizontal="center" vertical="center" wrapText="1"/>
    </xf>
    <xf numFmtId="0" fontId="21" fillId="2" borderId="33" xfId="0" applyFont="1" applyFill="1" applyBorder="1" applyAlignment="1">
      <alignment horizontal="center" vertical="center" wrapText="1"/>
    </xf>
    <xf numFmtId="0" fontId="21" fillId="2" borderId="28" xfId="0" applyFont="1" applyFill="1" applyBorder="1" applyAlignment="1">
      <alignment horizontal="center" vertical="center" wrapText="1"/>
    </xf>
    <xf numFmtId="0" fontId="21" fillId="2" borderId="29" xfId="0" applyFont="1" applyFill="1" applyBorder="1" applyAlignment="1">
      <alignment horizontal="center" vertical="center" wrapText="1"/>
    </xf>
    <xf numFmtId="0" fontId="20" fillId="2" borderId="16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0" fontId="23" fillId="2" borderId="16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10" xfId="0" applyFont="1" applyFill="1" applyBorder="1" applyAlignment="1">
      <alignment horizontal="center" vertical="center"/>
    </xf>
    <xf numFmtId="0" fontId="19" fillId="0" borderId="26" xfId="0" applyFont="1" applyBorder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1" xfId="0" applyFont="1" applyBorder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1" xfId="0" applyFont="1" applyBorder="1" applyAlignment="1">
      <alignment horizontal="right" vertical="center" wrapText="1"/>
    </xf>
    <xf numFmtId="0" fontId="24" fillId="0" borderId="6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23" xfId="0" applyFont="1" applyFill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7" fillId="0" borderId="17" xfId="0" applyFont="1" applyBorder="1" applyAlignment="1">
      <alignment horizontal="justify" vertical="center" wrapText="1"/>
    </xf>
    <xf numFmtId="0" fontId="7" fillId="0" borderId="5" xfId="0" applyFont="1" applyBorder="1" applyAlignment="1">
      <alignment horizontal="justify" vertical="center" wrapText="1"/>
    </xf>
    <xf numFmtId="0" fontId="7" fillId="0" borderId="11" xfId="0" applyFont="1" applyBorder="1" applyAlignment="1">
      <alignment horizontal="justify" vertical="center" wrapText="1"/>
    </xf>
    <xf numFmtId="0" fontId="7" fillId="0" borderId="14" xfId="0" applyFont="1" applyBorder="1" applyAlignment="1">
      <alignment horizontal="justify" vertical="center" wrapText="1"/>
    </xf>
    <xf numFmtId="0" fontId="19" fillId="0" borderId="17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2" borderId="18" xfId="0" applyFont="1" applyFill="1" applyBorder="1" applyAlignment="1">
      <alignment horizontal="center" vertical="center" wrapText="1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0" fillId="2" borderId="7" xfId="0" applyFont="1" applyFill="1" applyBorder="1" applyAlignment="1">
      <alignment horizontal="center" vertical="center" wrapText="1"/>
    </xf>
    <xf numFmtId="0" fontId="20" fillId="2" borderId="9" xfId="0" applyFont="1" applyFill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21" fillId="2" borderId="38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43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15" xfId="0" applyFont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2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left" vertical="center" wrapText="1" shrinkToFit="1"/>
    </xf>
    <xf numFmtId="0" fontId="19" fillId="0" borderId="20" xfId="0" applyFont="1" applyBorder="1" applyAlignment="1">
      <alignment horizontal="left" vertical="center" wrapText="1" shrinkToFit="1"/>
    </xf>
    <xf numFmtId="0" fontId="19" fillId="0" borderId="18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19" xfId="0" applyFont="1" applyBorder="1" applyAlignment="1">
      <alignment horizontal="left" vertical="center" wrapText="1" shrinkToFit="1"/>
    </xf>
    <xf numFmtId="0" fontId="22" fillId="2" borderId="16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10" xfId="0" applyFont="1" applyFill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left" vertical="center" wrapText="1"/>
    </xf>
    <xf numFmtId="0" fontId="19" fillId="0" borderId="19" xfId="0" applyFont="1" applyBorder="1" applyAlignment="1">
      <alignment horizontal="left" vertical="center" wrapText="1"/>
    </xf>
    <xf numFmtId="0" fontId="19" fillId="0" borderId="21" xfId="0" applyFont="1" applyBorder="1" applyAlignment="1">
      <alignment horizontal="left" vertical="center" wrapText="1"/>
    </xf>
    <xf numFmtId="0" fontId="19" fillId="0" borderId="19" xfId="0" applyFont="1" applyBorder="1" applyAlignment="1">
      <alignment horizontal="center" vertical="center"/>
    </xf>
    <xf numFmtId="0" fontId="32" fillId="0" borderId="61" xfId="0" applyFont="1" applyBorder="1" applyAlignment="1">
      <alignment horizontal="left" vertical="center" wrapText="1"/>
    </xf>
    <xf numFmtId="0" fontId="32" fillId="0" borderId="27" xfId="0" applyFont="1" applyBorder="1" applyAlignment="1">
      <alignment horizontal="left" vertical="center" wrapText="1"/>
    </xf>
    <xf numFmtId="0" fontId="32" fillId="0" borderId="3" xfId="0" applyFont="1" applyBorder="1" applyAlignment="1">
      <alignment horizontal="left" vertical="center" wrapText="1"/>
    </xf>
    <xf numFmtId="0" fontId="32" fillId="0" borderId="40" xfId="0" applyFont="1" applyBorder="1" applyAlignment="1">
      <alignment horizontal="left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27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25" fillId="0" borderId="36" xfId="0" applyFont="1" applyBorder="1" applyAlignment="1">
      <alignment horizontal="left" vertical="center" wrapText="1"/>
    </xf>
    <xf numFmtId="0" fontId="25" fillId="0" borderId="60" xfId="0" applyFont="1" applyBorder="1" applyAlignment="1">
      <alignment horizontal="left" vertical="center" wrapText="1"/>
    </xf>
    <xf numFmtId="0" fontId="25" fillId="0" borderId="61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48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5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25" fillId="0" borderId="35" xfId="0" applyFont="1" applyBorder="1" applyAlignment="1">
      <alignment horizontal="left" vertical="center" wrapText="1"/>
    </xf>
    <xf numFmtId="0" fontId="25" fillId="0" borderId="50" xfId="0" applyFont="1" applyBorder="1" applyAlignment="1">
      <alignment horizontal="left" vertical="center" wrapText="1"/>
    </xf>
    <xf numFmtId="0" fontId="25" fillId="0" borderId="0" xfId="0" applyFont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33" fillId="2" borderId="57" xfId="0" applyFont="1" applyFill="1" applyBorder="1" applyAlignment="1">
      <alignment horizontal="center" vertical="center" wrapText="1"/>
    </xf>
    <xf numFmtId="0" fontId="33" fillId="2" borderId="10" xfId="0" applyFont="1" applyFill="1" applyBorder="1" applyAlignment="1">
      <alignment horizontal="center" vertical="center" wrapText="1"/>
    </xf>
    <xf numFmtId="0" fontId="34" fillId="3" borderId="18" xfId="0" applyFont="1" applyFill="1" applyBorder="1" applyAlignment="1">
      <alignment horizontal="center" vertical="center" wrapText="1"/>
    </xf>
    <xf numFmtId="0" fontId="34" fillId="3" borderId="21" xfId="0" applyFont="1" applyFill="1" applyBorder="1" applyAlignment="1">
      <alignment horizontal="center" vertical="center" wrapText="1"/>
    </xf>
    <xf numFmtId="0" fontId="34" fillId="3" borderId="22" xfId="0" applyFont="1" applyFill="1" applyBorder="1" applyAlignment="1">
      <alignment horizontal="center" vertical="center" wrapText="1"/>
    </xf>
    <xf numFmtId="0" fontId="34" fillId="3" borderId="15" xfId="0" applyFont="1" applyFill="1" applyBorder="1" applyAlignment="1">
      <alignment horizontal="center" vertical="center" wrapText="1"/>
    </xf>
    <xf numFmtId="0" fontId="33" fillId="2" borderId="58" xfId="0" applyFont="1" applyFill="1" applyBorder="1" applyAlignment="1">
      <alignment horizontal="center" vertical="center" wrapText="1"/>
    </xf>
    <xf numFmtId="0" fontId="32" fillId="0" borderId="17" xfId="0" applyFont="1" applyBorder="1" applyAlignment="1">
      <alignment horizontal="left" vertical="center" wrapText="1"/>
    </xf>
    <xf numFmtId="0" fontId="32" fillId="0" borderId="26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0" borderId="28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2" borderId="53" xfId="0" applyFont="1" applyFill="1" applyBorder="1" applyAlignment="1">
      <alignment horizontal="center" vertical="center" wrapText="1"/>
    </xf>
    <xf numFmtId="0" fontId="33" fillId="2" borderId="52" xfId="0" applyFont="1" applyFill="1" applyBorder="1" applyAlignment="1">
      <alignment horizontal="center" vertical="center" wrapText="1"/>
    </xf>
    <xf numFmtId="0" fontId="33" fillId="2" borderId="7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33" fillId="2" borderId="54" xfId="0" applyFont="1" applyFill="1" applyBorder="1" applyAlignment="1">
      <alignment horizontal="center" vertical="center" wrapText="1"/>
    </xf>
    <xf numFmtId="0" fontId="19" fillId="0" borderId="39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36" fillId="2" borderId="33" xfId="0" applyFont="1" applyFill="1" applyBorder="1" applyAlignment="1">
      <alignment horizontal="center" vertical="center" wrapText="1"/>
    </xf>
    <xf numFmtId="0" fontId="36" fillId="2" borderId="29" xfId="0" applyFont="1" applyFill="1" applyBorder="1" applyAlignment="1">
      <alignment horizontal="center" vertical="center" wrapText="1"/>
    </xf>
    <xf numFmtId="0" fontId="36" fillId="2" borderId="49" xfId="0" applyFont="1" applyFill="1" applyBorder="1" applyAlignment="1">
      <alignment horizontal="center" vertical="center" wrapText="1"/>
    </xf>
    <xf numFmtId="0" fontId="32" fillId="3" borderId="17" xfId="0" applyFont="1" applyFill="1" applyBorder="1" applyAlignment="1">
      <alignment horizontal="center" vertical="center" wrapText="1"/>
    </xf>
    <xf numFmtId="0" fontId="32" fillId="3" borderId="5" xfId="0" applyFont="1" applyFill="1" applyBorder="1" applyAlignment="1">
      <alignment horizontal="center" vertical="center" wrapText="1"/>
    </xf>
    <xf numFmtId="0" fontId="34" fillId="3" borderId="5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left" vertical="center" wrapText="1"/>
    </xf>
    <xf numFmtId="0" fontId="35" fillId="0" borderId="24" xfId="0" applyFont="1" applyBorder="1" applyAlignment="1">
      <alignment horizontal="left" vertical="center" wrapText="1"/>
    </xf>
    <xf numFmtId="0" fontId="34" fillId="3" borderId="5" xfId="0" applyFont="1" applyFill="1" applyBorder="1" applyAlignment="1">
      <alignment horizontal="center" vertical="top" wrapText="1"/>
    </xf>
    <xf numFmtId="0" fontId="32" fillId="0" borderId="59" xfId="0" applyFont="1" applyBorder="1" applyAlignment="1">
      <alignment horizontal="left" vertical="center" wrapText="1"/>
    </xf>
    <xf numFmtId="0" fontId="32" fillId="0" borderId="20" xfId="0" applyFont="1" applyBorder="1" applyAlignment="1">
      <alignment horizontal="left" vertical="center" wrapText="1"/>
    </xf>
    <xf numFmtId="0" fontId="32" fillId="0" borderId="5" xfId="0" applyFont="1" applyBorder="1" applyAlignment="1">
      <alignment horizontal="left" vertical="center" wrapText="1"/>
    </xf>
    <xf numFmtId="0" fontId="35" fillId="0" borderId="14" xfId="0" applyFont="1" applyBorder="1" applyAlignment="1">
      <alignment horizontal="left" vertical="center" wrapText="1"/>
    </xf>
    <xf numFmtId="0" fontId="35" fillId="0" borderId="25" xfId="0" applyFont="1" applyBorder="1" applyAlignment="1">
      <alignment horizontal="left" vertical="center" wrapText="1"/>
    </xf>
    <xf numFmtId="0" fontId="14" fillId="2" borderId="5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left" vertical="center" wrapText="1"/>
    </xf>
    <xf numFmtId="0" fontId="32" fillId="0" borderId="14" xfId="0" applyFont="1" applyBorder="1" applyAlignment="1">
      <alignment horizontal="left" vertical="center" wrapText="1"/>
    </xf>
    <xf numFmtId="0" fontId="32" fillId="0" borderId="35" xfId="0" applyFont="1" applyBorder="1" applyAlignment="1">
      <alignment horizontal="left" vertical="center" wrapText="1"/>
    </xf>
    <xf numFmtId="0" fontId="36" fillId="2" borderId="16" xfId="0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0" fontId="36" fillId="2" borderId="10" xfId="0" applyFont="1" applyFill="1" applyBorder="1" applyAlignment="1">
      <alignment horizontal="center" vertical="center"/>
    </xf>
    <xf numFmtId="0" fontId="32" fillId="0" borderId="32" xfId="0" applyFont="1" applyBorder="1" applyAlignment="1">
      <alignment horizontal="right" vertical="center" wrapText="1"/>
    </xf>
    <xf numFmtId="0" fontId="32" fillId="0" borderId="26" xfId="0" applyFont="1" applyBorder="1" applyAlignment="1">
      <alignment horizontal="right" vertical="center" wrapText="1"/>
    </xf>
    <xf numFmtId="0" fontId="32" fillId="0" borderId="27" xfId="0" applyFont="1" applyBorder="1" applyAlignment="1">
      <alignment horizontal="right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 wrapText="1"/>
    </xf>
    <xf numFmtId="0" fontId="31" fillId="0" borderId="13" xfId="0" applyFont="1" applyBorder="1" applyAlignment="1">
      <alignment horizontal="center" vertical="center" wrapText="1"/>
    </xf>
    <xf numFmtId="0" fontId="31" fillId="0" borderId="12" xfId="0" applyFont="1" applyBorder="1" applyAlignment="1">
      <alignment horizontal="center" vertical="center" wrapText="1"/>
    </xf>
    <xf numFmtId="0" fontId="32" fillId="3" borderId="11" xfId="0" applyFont="1" applyFill="1" applyBorder="1" applyAlignment="1">
      <alignment horizontal="center" vertical="center" wrapText="1"/>
    </xf>
    <xf numFmtId="0" fontId="32" fillId="3" borderId="14" xfId="0" applyFont="1" applyFill="1" applyBorder="1" applyAlignment="1">
      <alignment horizontal="center" vertical="center" wrapText="1"/>
    </xf>
    <xf numFmtId="0" fontId="34" fillId="3" borderId="14" xfId="0" applyFont="1" applyFill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33" fillId="2" borderId="23" xfId="0" applyFont="1" applyFill="1" applyBorder="1" applyAlignment="1">
      <alignment horizontal="center" vertical="center" wrapText="1"/>
    </xf>
    <xf numFmtId="0" fontId="33" fillId="0" borderId="17" xfId="0" applyFont="1" applyBorder="1" applyAlignment="1">
      <alignment horizontal="left" vertical="center" wrapText="1"/>
    </xf>
    <xf numFmtId="0" fontId="33" fillId="0" borderId="5" xfId="0" applyFont="1" applyBorder="1" applyAlignment="1">
      <alignment horizontal="left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23" fillId="0" borderId="21" xfId="0" applyFont="1" applyBorder="1" applyAlignment="1">
      <alignment horizontal="left" vertical="center"/>
    </xf>
    <xf numFmtId="0" fontId="32" fillId="0" borderId="34" xfId="0" applyFont="1" applyBorder="1" applyAlignment="1">
      <alignment horizontal="left" vertical="center" wrapText="1"/>
    </xf>
    <xf numFmtId="0" fontId="31" fillId="0" borderId="47" xfId="0" applyFont="1" applyBorder="1" applyAlignment="1">
      <alignment horizontal="center" vertical="top" wrapText="1"/>
    </xf>
    <xf numFmtId="0" fontId="31" fillId="0" borderId="46" xfId="0" applyFont="1" applyBorder="1" applyAlignment="1">
      <alignment horizontal="center" vertical="top" wrapText="1"/>
    </xf>
    <xf numFmtId="0" fontId="31" fillId="0" borderId="6" xfId="0" applyFont="1" applyBorder="1" applyAlignment="1">
      <alignment horizontal="center" vertical="top" wrapText="1"/>
    </xf>
    <xf numFmtId="0" fontId="31" fillId="0" borderId="52" xfId="0" applyFont="1" applyBorder="1" applyAlignment="1">
      <alignment horizontal="center" vertical="top" wrapText="1"/>
    </xf>
    <xf numFmtId="0" fontId="33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32" fillId="0" borderId="19" xfId="0" applyFont="1" applyBorder="1" applyAlignment="1">
      <alignment horizontal="center" vertical="center" wrapText="1"/>
    </xf>
  </cellXfs>
  <cellStyles count="26">
    <cellStyle name="Comma 2" xfId="17" xr:uid="{00000000-0005-0000-0000-000001000000}"/>
    <cellStyle name="Comma 3" xfId="22" xr:uid="{00000000-0005-0000-0000-000002000000}"/>
    <cellStyle name="Comma0" xfId="6" xr:uid="{00000000-0005-0000-0000-000003000000}"/>
    <cellStyle name="Currency 2" xfId="18" xr:uid="{00000000-0005-0000-0000-000004000000}"/>
    <cellStyle name="Currency 3" xfId="23" xr:uid="{00000000-0005-0000-0000-000005000000}"/>
    <cellStyle name="Currency0" xfId="7" xr:uid="{00000000-0005-0000-0000-000006000000}"/>
    <cellStyle name="Date" xfId="8" xr:uid="{00000000-0005-0000-0000-000007000000}"/>
    <cellStyle name="Fixed" xfId="9" xr:uid="{00000000-0005-0000-0000-000008000000}"/>
    <cellStyle name="Heading 1 2" xfId="10" xr:uid="{00000000-0005-0000-0000-000009000000}"/>
    <cellStyle name="Heading 2 2" xfId="11" xr:uid="{00000000-0005-0000-0000-00000A000000}"/>
    <cellStyle name="Hyperlink 2" xfId="5" xr:uid="{00000000-0005-0000-0000-00000C000000}"/>
    <cellStyle name="Neutral" xfId="25" builtinId="28"/>
    <cellStyle name="Normal" xfId="0" builtinId="0"/>
    <cellStyle name="Normal 2" xfId="2" xr:uid="{00000000-0005-0000-0000-00000E000000}"/>
    <cellStyle name="Normal 2 2" xfId="19" xr:uid="{00000000-0005-0000-0000-00000F000000}"/>
    <cellStyle name="Normal 3" xfId="1" xr:uid="{00000000-0005-0000-0000-000010000000}"/>
    <cellStyle name="Normal 4" xfId="3" xr:uid="{00000000-0005-0000-0000-000011000000}"/>
    <cellStyle name="Normal 5" xfId="4" xr:uid="{00000000-0005-0000-0000-000012000000}"/>
    <cellStyle name="Normal 5 2" xfId="21" xr:uid="{00000000-0005-0000-0000-000013000000}"/>
    <cellStyle name="PD-A3E-W*-" xfId="12" xr:uid="{00000000-0005-0000-0000-000015000000}"/>
    <cellStyle name="PD-A3E-WC-" xfId="13" xr:uid="{00000000-0005-0000-0000-000016000000}"/>
    <cellStyle name="PD-A3E-WS-" xfId="14" xr:uid="{00000000-0005-0000-0000-000017000000}"/>
    <cellStyle name="PD-A3E-WX-" xfId="15" xr:uid="{00000000-0005-0000-0000-000018000000}"/>
    <cellStyle name="Percent 2" xfId="20" xr:uid="{00000000-0005-0000-0000-000019000000}"/>
    <cellStyle name="Percent 3" xfId="24" xr:uid="{00000000-0005-0000-0000-00001A000000}"/>
    <cellStyle name="Total 2" xfId="16" xr:uid="{00000000-0005-0000-0000-00001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77355-9BB8-4E6A-9386-996E76F5834F}">
  <sheetPr codeName="Sheet4">
    <pageSetUpPr fitToPage="1"/>
  </sheetPr>
  <dimension ref="A1:AH150"/>
  <sheetViews>
    <sheetView zoomScale="60" zoomScaleNormal="60" workbookViewId="0">
      <pane ySplit="1" topLeftCell="A2" activePane="bottomLeft" state="frozen"/>
      <selection activeCell="AH104" sqref="AH104"/>
      <selection pane="bottomLeft" activeCell="I5" sqref="I5"/>
    </sheetView>
  </sheetViews>
  <sheetFormatPr defaultColWidth="8.6640625" defaultRowHeight="14.4" x14ac:dyDescent="0.3"/>
  <cols>
    <col min="1" max="1" width="6.33203125" style="2" customWidth="1"/>
    <col min="2" max="2" width="36.6640625" style="2" customWidth="1"/>
    <col min="3" max="3" width="76" style="2" customWidth="1"/>
    <col min="4" max="4" width="69.6640625" style="2" customWidth="1"/>
    <col min="5" max="5" width="14.5546875" style="2" hidden="1" customWidth="1"/>
    <col min="6" max="6" width="8.6640625" style="2" customWidth="1"/>
    <col min="7" max="7" width="11.33203125" style="2" customWidth="1"/>
    <col min="8" max="8" width="8.6640625" style="2" customWidth="1"/>
    <col min="9" max="9" width="17.109375" style="2" customWidth="1"/>
    <col min="10" max="10" width="40.44140625" style="2" customWidth="1"/>
    <col min="11" max="11" width="14.109375" style="2" customWidth="1"/>
    <col min="12" max="12" width="13.44140625" style="92" customWidth="1"/>
    <col min="13" max="15" width="19.33203125" style="2" hidden="1" customWidth="1"/>
    <col min="16" max="16" width="12.5546875" style="2" hidden="1" customWidth="1"/>
    <col min="17" max="18" width="21.44140625" style="2" customWidth="1"/>
    <col min="19" max="19" width="12.5546875" style="2" customWidth="1"/>
    <col min="20" max="20" width="21.44140625" style="2" customWidth="1"/>
    <col min="21" max="21" width="55.109375" style="2" hidden="1" customWidth="1"/>
    <col min="22" max="29" width="8.6640625" style="2" hidden="1" customWidth="1"/>
    <col min="30" max="30" width="17.109375" style="2" hidden="1" customWidth="1"/>
    <col min="31" max="16384" width="8.6640625" style="2"/>
  </cols>
  <sheetData>
    <row r="1" spans="1:31" ht="56.4" customHeight="1" x14ac:dyDescent="0.3">
      <c r="A1" s="67" t="s">
        <v>493</v>
      </c>
      <c r="B1" s="67" t="s">
        <v>492</v>
      </c>
      <c r="C1" s="67" t="s">
        <v>491</v>
      </c>
      <c r="D1" s="67" t="s">
        <v>490</v>
      </c>
      <c r="E1" s="67" t="s">
        <v>489</v>
      </c>
      <c r="F1" s="68" t="s">
        <v>488</v>
      </c>
      <c r="G1" s="68" t="s">
        <v>487</v>
      </c>
      <c r="H1" s="67" t="s">
        <v>486</v>
      </c>
      <c r="I1" s="68" t="s">
        <v>485</v>
      </c>
      <c r="J1" s="67" t="s">
        <v>484</v>
      </c>
      <c r="K1" s="68" t="s">
        <v>483</v>
      </c>
      <c r="L1" s="69" t="s">
        <v>482</v>
      </c>
      <c r="M1" s="68" t="s">
        <v>481</v>
      </c>
      <c r="N1" s="68" t="s">
        <v>480</v>
      </c>
      <c r="O1" s="68" t="s">
        <v>479</v>
      </c>
      <c r="P1" s="68" t="s">
        <v>478</v>
      </c>
      <c r="Q1" s="67" t="s">
        <v>477</v>
      </c>
      <c r="R1" s="67" t="s">
        <v>476</v>
      </c>
      <c r="S1" s="68" t="s">
        <v>475</v>
      </c>
      <c r="T1" s="67" t="s">
        <v>474</v>
      </c>
      <c r="AD1" s="88" t="s">
        <v>473</v>
      </c>
    </row>
    <row r="2" spans="1:31" s="89" customFormat="1" ht="30" customHeight="1" x14ac:dyDescent="0.3">
      <c r="A2" s="70" t="s">
        <v>301</v>
      </c>
      <c r="B2" s="70" t="s">
        <v>494</v>
      </c>
      <c r="C2" s="71" t="s">
        <v>461</v>
      </c>
      <c r="D2" s="71" t="s">
        <v>395</v>
      </c>
      <c r="E2" s="72" t="s">
        <v>126</v>
      </c>
      <c r="F2" s="72">
        <v>150</v>
      </c>
      <c r="G2" s="72">
        <v>25</v>
      </c>
      <c r="H2" s="72" t="s">
        <v>460</v>
      </c>
      <c r="I2" s="72" t="s">
        <v>227</v>
      </c>
      <c r="J2" s="72" t="s">
        <v>465</v>
      </c>
      <c r="K2" s="72" t="s">
        <v>397</v>
      </c>
      <c r="L2" s="70">
        <v>230</v>
      </c>
      <c r="M2" s="72" t="s">
        <v>121</v>
      </c>
      <c r="N2" s="72" t="s">
        <v>323</v>
      </c>
      <c r="O2" s="72" t="s">
        <v>121</v>
      </c>
      <c r="P2" s="72" t="s">
        <v>121</v>
      </c>
      <c r="Q2" s="73" t="s">
        <v>464</v>
      </c>
      <c r="R2" s="73">
        <v>32</v>
      </c>
      <c r="S2" s="72" t="s">
        <v>119</v>
      </c>
      <c r="T2" s="74" t="s">
        <v>463</v>
      </c>
      <c r="AD2" s="89">
        <f t="shared" ref="AD2:AD58" si="0">IF(PI()*(G2/2)^2=0,"",PI()*(G2/2)^2)</f>
        <v>490.87385212340519</v>
      </c>
      <c r="AE2" s="90"/>
    </row>
    <row r="3" spans="1:31" s="89" customFormat="1" ht="30" customHeight="1" x14ac:dyDescent="0.3">
      <c r="A3" s="70" t="s">
        <v>301</v>
      </c>
      <c r="B3" s="70" t="s">
        <v>472</v>
      </c>
      <c r="C3" s="71" t="s">
        <v>461</v>
      </c>
      <c r="D3" s="71" t="s">
        <v>395</v>
      </c>
      <c r="E3" s="72" t="s">
        <v>126</v>
      </c>
      <c r="F3" s="72">
        <v>150</v>
      </c>
      <c r="G3" s="72">
        <v>25</v>
      </c>
      <c r="H3" s="72" t="s">
        <v>460</v>
      </c>
      <c r="I3" s="72" t="s">
        <v>227</v>
      </c>
      <c r="J3" s="72" t="s">
        <v>465</v>
      </c>
      <c r="K3" s="72" t="s">
        <v>397</v>
      </c>
      <c r="L3" s="70">
        <v>230</v>
      </c>
      <c r="M3" s="72" t="s">
        <v>121</v>
      </c>
      <c r="N3" s="72" t="s">
        <v>323</v>
      </c>
      <c r="O3" s="72" t="s">
        <v>121</v>
      </c>
      <c r="P3" s="72" t="s">
        <v>121</v>
      </c>
      <c r="Q3" s="73" t="s">
        <v>464</v>
      </c>
      <c r="R3" s="73">
        <v>32</v>
      </c>
      <c r="S3" s="72" t="s">
        <v>119</v>
      </c>
      <c r="T3" s="74" t="s">
        <v>463</v>
      </c>
      <c r="AD3" s="89">
        <f t="shared" si="0"/>
        <v>490.87385212340519</v>
      </c>
    </row>
    <row r="4" spans="1:31" s="89" customFormat="1" ht="30" customHeight="1" x14ac:dyDescent="0.3">
      <c r="A4" s="70" t="s">
        <v>301</v>
      </c>
      <c r="B4" s="70" t="s">
        <v>471</v>
      </c>
      <c r="C4" s="71" t="s">
        <v>461</v>
      </c>
      <c r="D4" s="71" t="s">
        <v>395</v>
      </c>
      <c r="E4" s="72" t="s">
        <v>126</v>
      </c>
      <c r="F4" s="72">
        <v>150</v>
      </c>
      <c r="G4" s="72">
        <v>25</v>
      </c>
      <c r="H4" s="72" t="s">
        <v>460</v>
      </c>
      <c r="I4" s="72" t="s">
        <v>227</v>
      </c>
      <c r="J4" s="72" t="s">
        <v>465</v>
      </c>
      <c r="K4" s="72" t="s">
        <v>397</v>
      </c>
      <c r="L4" s="70">
        <v>230</v>
      </c>
      <c r="M4" s="72" t="s">
        <v>121</v>
      </c>
      <c r="N4" s="72" t="s">
        <v>323</v>
      </c>
      <c r="O4" s="72" t="s">
        <v>121</v>
      </c>
      <c r="P4" s="72" t="s">
        <v>121</v>
      </c>
      <c r="Q4" s="73" t="s">
        <v>464</v>
      </c>
      <c r="R4" s="73">
        <v>32</v>
      </c>
      <c r="S4" s="72" t="s">
        <v>119</v>
      </c>
      <c r="T4" s="74" t="s">
        <v>463</v>
      </c>
      <c r="AD4" s="89">
        <f t="shared" si="0"/>
        <v>490.87385212340519</v>
      </c>
    </row>
    <row r="5" spans="1:31" s="89" customFormat="1" ht="30" customHeight="1" x14ac:dyDescent="0.3">
      <c r="A5" s="70" t="s">
        <v>301</v>
      </c>
      <c r="B5" s="70" t="s">
        <v>470</v>
      </c>
      <c r="C5" s="71" t="s">
        <v>461</v>
      </c>
      <c r="D5" s="71" t="s">
        <v>395</v>
      </c>
      <c r="E5" s="72" t="s">
        <v>126</v>
      </c>
      <c r="F5" s="72">
        <v>150</v>
      </c>
      <c r="G5" s="72">
        <v>25</v>
      </c>
      <c r="H5" s="72" t="s">
        <v>460</v>
      </c>
      <c r="I5" s="72" t="s">
        <v>227</v>
      </c>
      <c r="J5" s="72" t="s">
        <v>465</v>
      </c>
      <c r="K5" s="72" t="s">
        <v>397</v>
      </c>
      <c r="L5" s="70">
        <v>230</v>
      </c>
      <c r="M5" s="72" t="s">
        <v>121</v>
      </c>
      <c r="N5" s="72" t="s">
        <v>323</v>
      </c>
      <c r="O5" s="72" t="s">
        <v>121</v>
      </c>
      <c r="P5" s="72" t="s">
        <v>121</v>
      </c>
      <c r="Q5" s="73" t="s">
        <v>464</v>
      </c>
      <c r="R5" s="73">
        <v>32</v>
      </c>
      <c r="S5" s="72" t="s">
        <v>119</v>
      </c>
      <c r="T5" s="74" t="s">
        <v>463</v>
      </c>
      <c r="AD5" s="89">
        <f t="shared" si="0"/>
        <v>490.87385212340519</v>
      </c>
    </row>
    <row r="6" spans="1:31" s="89" customFormat="1" ht="30" customHeight="1" x14ac:dyDescent="0.3">
      <c r="A6" s="70" t="s">
        <v>301</v>
      </c>
      <c r="B6" s="70" t="s">
        <v>469</v>
      </c>
      <c r="C6" s="71" t="s">
        <v>461</v>
      </c>
      <c r="D6" s="71" t="s">
        <v>395</v>
      </c>
      <c r="E6" s="72" t="s">
        <v>126</v>
      </c>
      <c r="F6" s="72">
        <v>150</v>
      </c>
      <c r="G6" s="72">
        <v>25</v>
      </c>
      <c r="H6" s="72" t="s">
        <v>460</v>
      </c>
      <c r="I6" s="72" t="s">
        <v>227</v>
      </c>
      <c r="J6" s="72" t="s">
        <v>465</v>
      </c>
      <c r="K6" s="72" t="s">
        <v>397</v>
      </c>
      <c r="L6" s="70">
        <v>230</v>
      </c>
      <c r="M6" s="72" t="s">
        <v>121</v>
      </c>
      <c r="N6" s="72" t="s">
        <v>323</v>
      </c>
      <c r="O6" s="72" t="s">
        <v>121</v>
      </c>
      <c r="P6" s="72" t="s">
        <v>121</v>
      </c>
      <c r="Q6" s="73" t="s">
        <v>464</v>
      </c>
      <c r="R6" s="73">
        <v>32</v>
      </c>
      <c r="S6" s="72" t="s">
        <v>119</v>
      </c>
      <c r="T6" s="74" t="s">
        <v>463</v>
      </c>
      <c r="AD6" s="89">
        <f t="shared" si="0"/>
        <v>490.87385212340519</v>
      </c>
    </row>
    <row r="7" spans="1:31" s="89" customFormat="1" ht="30" customHeight="1" x14ac:dyDescent="0.3">
      <c r="A7" s="70" t="s">
        <v>301</v>
      </c>
      <c r="B7" s="70" t="s">
        <v>468</v>
      </c>
      <c r="C7" s="71" t="s">
        <v>461</v>
      </c>
      <c r="D7" s="71" t="s">
        <v>395</v>
      </c>
      <c r="E7" s="72" t="s">
        <v>126</v>
      </c>
      <c r="F7" s="72">
        <v>150</v>
      </c>
      <c r="G7" s="72">
        <v>25</v>
      </c>
      <c r="H7" s="72" t="s">
        <v>460</v>
      </c>
      <c r="I7" s="72" t="s">
        <v>227</v>
      </c>
      <c r="J7" s="72" t="s">
        <v>465</v>
      </c>
      <c r="K7" s="72" t="s">
        <v>397</v>
      </c>
      <c r="L7" s="70">
        <v>230</v>
      </c>
      <c r="M7" s="72" t="s">
        <v>121</v>
      </c>
      <c r="N7" s="72" t="s">
        <v>323</v>
      </c>
      <c r="O7" s="72" t="s">
        <v>121</v>
      </c>
      <c r="P7" s="72" t="s">
        <v>121</v>
      </c>
      <c r="Q7" s="73" t="s">
        <v>464</v>
      </c>
      <c r="R7" s="73">
        <v>32</v>
      </c>
      <c r="S7" s="72" t="s">
        <v>119</v>
      </c>
      <c r="T7" s="74" t="s">
        <v>463</v>
      </c>
      <c r="AD7" s="89">
        <f t="shared" si="0"/>
        <v>490.87385212340519</v>
      </c>
    </row>
    <row r="8" spans="1:31" s="89" customFormat="1" ht="30" customHeight="1" x14ac:dyDescent="0.3">
      <c r="A8" s="70" t="s">
        <v>301</v>
      </c>
      <c r="B8" s="70" t="s">
        <v>467</v>
      </c>
      <c r="C8" s="71" t="s">
        <v>461</v>
      </c>
      <c r="D8" s="71" t="s">
        <v>395</v>
      </c>
      <c r="E8" s="72" t="s">
        <v>126</v>
      </c>
      <c r="F8" s="72">
        <v>70</v>
      </c>
      <c r="G8" s="72">
        <v>20</v>
      </c>
      <c r="H8" s="72" t="s">
        <v>460</v>
      </c>
      <c r="I8" s="72" t="s">
        <v>227</v>
      </c>
      <c r="J8" s="72" t="s">
        <v>465</v>
      </c>
      <c r="K8" s="72" t="s">
        <v>397</v>
      </c>
      <c r="L8" s="70">
        <v>230</v>
      </c>
      <c r="M8" s="72" t="s">
        <v>121</v>
      </c>
      <c r="N8" s="72" t="s">
        <v>323</v>
      </c>
      <c r="O8" s="72" t="s">
        <v>121</v>
      </c>
      <c r="P8" s="72" t="s">
        <v>121</v>
      </c>
      <c r="Q8" s="73" t="s">
        <v>464</v>
      </c>
      <c r="R8" s="73">
        <v>32</v>
      </c>
      <c r="S8" s="72" t="s">
        <v>119</v>
      </c>
      <c r="T8" s="74" t="s">
        <v>463</v>
      </c>
      <c r="AD8" s="89">
        <f t="shared" si="0"/>
        <v>314.15926535897933</v>
      </c>
    </row>
    <row r="9" spans="1:31" s="89" customFormat="1" ht="30" customHeight="1" x14ac:dyDescent="0.3">
      <c r="A9" s="70" t="s">
        <v>301</v>
      </c>
      <c r="B9" s="70" t="s">
        <v>466</v>
      </c>
      <c r="C9" s="71" t="s">
        <v>461</v>
      </c>
      <c r="D9" s="71" t="s">
        <v>395</v>
      </c>
      <c r="E9" s="72" t="s">
        <v>126</v>
      </c>
      <c r="F9" s="72">
        <v>70</v>
      </c>
      <c r="G9" s="72">
        <v>20</v>
      </c>
      <c r="H9" s="72" t="s">
        <v>460</v>
      </c>
      <c r="I9" s="72" t="s">
        <v>227</v>
      </c>
      <c r="J9" s="72" t="s">
        <v>465</v>
      </c>
      <c r="K9" s="72" t="s">
        <v>397</v>
      </c>
      <c r="L9" s="70">
        <v>230</v>
      </c>
      <c r="M9" s="72" t="s">
        <v>121</v>
      </c>
      <c r="N9" s="72" t="s">
        <v>323</v>
      </c>
      <c r="O9" s="72" t="s">
        <v>121</v>
      </c>
      <c r="P9" s="72" t="s">
        <v>121</v>
      </c>
      <c r="Q9" s="73" t="s">
        <v>464</v>
      </c>
      <c r="R9" s="73">
        <v>32</v>
      </c>
      <c r="S9" s="72" t="s">
        <v>119</v>
      </c>
      <c r="T9" s="74" t="s">
        <v>463</v>
      </c>
      <c r="AD9" s="89">
        <f t="shared" si="0"/>
        <v>314.15926535897933</v>
      </c>
    </row>
    <row r="10" spans="1:31" s="89" customFormat="1" ht="60" customHeight="1" x14ac:dyDescent="0.3">
      <c r="A10" s="70" t="s">
        <v>301</v>
      </c>
      <c r="B10" s="70" t="s">
        <v>462</v>
      </c>
      <c r="C10" s="71" t="s">
        <v>461</v>
      </c>
      <c r="D10" s="71" t="s">
        <v>395</v>
      </c>
      <c r="E10" s="72" t="s">
        <v>126</v>
      </c>
      <c r="F10" s="72">
        <v>120</v>
      </c>
      <c r="G10" s="72">
        <v>19.600000000000001</v>
      </c>
      <c r="H10" s="72" t="s">
        <v>460</v>
      </c>
      <c r="I10" s="72" t="s">
        <v>459</v>
      </c>
      <c r="J10" s="73" t="s">
        <v>458</v>
      </c>
      <c r="K10" s="72" t="s">
        <v>397</v>
      </c>
      <c r="L10" s="70">
        <v>210</v>
      </c>
      <c r="M10" s="72" t="s">
        <v>121</v>
      </c>
      <c r="N10" s="72" t="s">
        <v>323</v>
      </c>
      <c r="O10" s="72" t="s">
        <v>121</v>
      </c>
      <c r="P10" s="72" t="s">
        <v>121</v>
      </c>
      <c r="Q10" s="73" t="s">
        <v>457</v>
      </c>
      <c r="R10" s="73">
        <v>32</v>
      </c>
      <c r="S10" s="72" t="s">
        <v>119</v>
      </c>
      <c r="T10" s="73" t="s">
        <v>456</v>
      </c>
      <c r="AD10" s="89">
        <f t="shared" si="0"/>
        <v>301.71855845076379</v>
      </c>
    </row>
    <row r="11" spans="1:31" s="89" customFormat="1" ht="60" customHeight="1" x14ac:dyDescent="0.3">
      <c r="A11" s="70" t="s">
        <v>130</v>
      </c>
      <c r="B11" s="70" t="s">
        <v>455</v>
      </c>
      <c r="C11" s="74" t="s">
        <v>395</v>
      </c>
      <c r="D11" s="74" t="s">
        <v>451</v>
      </c>
      <c r="E11" s="72" t="s">
        <v>126</v>
      </c>
      <c r="F11" s="70">
        <v>2.5</v>
      </c>
      <c r="G11" s="72">
        <v>13.3</v>
      </c>
      <c r="H11" s="70" t="s">
        <v>196</v>
      </c>
      <c r="I11" s="72" t="s">
        <v>227</v>
      </c>
      <c r="J11" s="72" t="s">
        <v>229</v>
      </c>
      <c r="K11" s="72" t="s">
        <v>397</v>
      </c>
      <c r="L11" s="70">
        <v>160</v>
      </c>
      <c r="M11" s="72"/>
      <c r="N11" s="72"/>
      <c r="O11" s="72"/>
      <c r="P11" s="72"/>
      <c r="Q11" s="74" t="s">
        <v>454</v>
      </c>
      <c r="R11" s="74">
        <v>25</v>
      </c>
      <c r="S11" s="72" t="s">
        <v>119</v>
      </c>
      <c r="T11" s="74" t="s">
        <v>453</v>
      </c>
      <c r="AD11" s="89">
        <f t="shared" si="0"/>
        <v>138.92908112337463</v>
      </c>
    </row>
    <row r="12" spans="1:31" s="89" customFormat="1" ht="60" customHeight="1" x14ac:dyDescent="0.3">
      <c r="A12" s="70" t="s">
        <v>311</v>
      </c>
      <c r="B12" s="70" t="s">
        <v>452</v>
      </c>
      <c r="C12" s="74" t="s">
        <v>344</v>
      </c>
      <c r="D12" s="74" t="s">
        <v>451</v>
      </c>
      <c r="E12" s="72" t="s">
        <v>126</v>
      </c>
      <c r="F12" s="72">
        <v>1.5</v>
      </c>
      <c r="G12" s="72">
        <v>10.1</v>
      </c>
      <c r="H12" s="70" t="s">
        <v>214</v>
      </c>
      <c r="I12" s="72" t="s">
        <v>195</v>
      </c>
      <c r="J12" s="73" t="s">
        <v>194</v>
      </c>
      <c r="K12" s="72" t="s">
        <v>154</v>
      </c>
      <c r="L12" s="70">
        <v>160</v>
      </c>
      <c r="M12" s="72" t="s">
        <v>121</v>
      </c>
      <c r="N12" s="72" t="s">
        <v>121</v>
      </c>
      <c r="O12" s="72" t="s">
        <v>121</v>
      </c>
      <c r="P12" s="72" t="s">
        <v>121</v>
      </c>
      <c r="Q12" s="73" t="s">
        <v>450</v>
      </c>
      <c r="R12" s="75">
        <v>20</v>
      </c>
      <c r="S12" s="75" t="s">
        <v>119</v>
      </c>
      <c r="T12" s="74" t="s">
        <v>449</v>
      </c>
      <c r="AD12" s="89">
        <f>IF(PI()*(G12/2)^2=0,"",PI()*(G12/2)^2)</f>
        <v>80.118466648173694</v>
      </c>
    </row>
    <row r="13" spans="1:31" s="89" customFormat="1" ht="60" customHeight="1" x14ac:dyDescent="0.3">
      <c r="A13" s="70" t="s">
        <v>311</v>
      </c>
      <c r="B13" s="70" t="s">
        <v>448</v>
      </c>
      <c r="C13" s="74" t="s">
        <v>447</v>
      </c>
      <c r="D13" s="74" t="s">
        <v>443</v>
      </c>
      <c r="E13" s="72" t="s">
        <v>126</v>
      </c>
      <c r="F13" s="72">
        <v>6</v>
      </c>
      <c r="G13" s="70">
        <v>14</v>
      </c>
      <c r="H13" s="72" t="s">
        <v>214</v>
      </c>
      <c r="I13" s="72" t="s">
        <v>227</v>
      </c>
      <c r="J13" s="72" t="s">
        <v>229</v>
      </c>
      <c r="K13" s="72" t="s">
        <v>226</v>
      </c>
      <c r="L13" s="70">
        <v>5</v>
      </c>
      <c r="M13" s="72" t="s">
        <v>323</v>
      </c>
      <c r="N13" s="72" t="s">
        <v>323</v>
      </c>
      <c r="O13" s="72" t="s">
        <v>323</v>
      </c>
      <c r="P13" s="72" t="s">
        <v>121</v>
      </c>
      <c r="Q13" s="76"/>
      <c r="R13" s="74">
        <v>20</v>
      </c>
      <c r="S13" s="72" t="s">
        <v>119</v>
      </c>
      <c r="T13" s="74">
        <v>50295.533000000003</v>
      </c>
      <c r="AD13" s="89">
        <f t="shared" ref="AD13:AD15" si="1">IF(PI()*(G13/2)^2=0,"",PI()*(G13/2)^2)</f>
        <v>153.93804002589985</v>
      </c>
    </row>
    <row r="14" spans="1:31" s="89" customFormat="1" ht="60" customHeight="1" x14ac:dyDescent="0.3">
      <c r="A14" s="70" t="s">
        <v>311</v>
      </c>
      <c r="B14" s="70" t="s">
        <v>446</v>
      </c>
      <c r="C14" s="74" t="s">
        <v>444</v>
      </c>
      <c r="D14" s="74" t="s">
        <v>443</v>
      </c>
      <c r="E14" s="72" t="s">
        <v>126</v>
      </c>
      <c r="F14" s="72">
        <v>6</v>
      </c>
      <c r="G14" s="70">
        <v>14</v>
      </c>
      <c r="H14" s="72" t="s">
        <v>214</v>
      </c>
      <c r="I14" s="72" t="s">
        <v>227</v>
      </c>
      <c r="J14" s="72" t="s">
        <v>229</v>
      </c>
      <c r="K14" s="72" t="s">
        <v>226</v>
      </c>
      <c r="L14" s="70">
        <v>155</v>
      </c>
      <c r="M14" s="72" t="s">
        <v>323</v>
      </c>
      <c r="N14" s="72" t="s">
        <v>323</v>
      </c>
      <c r="O14" s="72" t="s">
        <v>323</v>
      </c>
      <c r="P14" s="72" t="s">
        <v>121</v>
      </c>
      <c r="Q14" s="76"/>
      <c r="R14" s="74">
        <v>20</v>
      </c>
      <c r="S14" s="72" t="s">
        <v>119</v>
      </c>
      <c r="T14" s="74">
        <v>50295.534</v>
      </c>
      <c r="AD14" s="89">
        <f t="shared" si="1"/>
        <v>153.93804002589985</v>
      </c>
    </row>
    <row r="15" spans="1:31" s="89" customFormat="1" ht="60" customHeight="1" x14ac:dyDescent="0.3">
      <c r="A15" s="70" t="s">
        <v>311</v>
      </c>
      <c r="B15" s="70" t="s">
        <v>445</v>
      </c>
      <c r="C15" s="74" t="s">
        <v>444</v>
      </c>
      <c r="D15" s="74" t="s">
        <v>443</v>
      </c>
      <c r="E15" s="72" t="s">
        <v>126</v>
      </c>
      <c r="F15" s="72">
        <v>1.5</v>
      </c>
      <c r="G15" s="72">
        <v>11.9</v>
      </c>
      <c r="H15" s="72" t="s">
        <v>196</v>
      </c>
      <c r="I15" s="72" t="s">
        <v>195</v>
      </c>
      <c r="J15" s="73" t="s">
        <v>194</v>
      </c>
      <c r="K15" s="72" t="s">
        <v>154</v>
      </c>
      <c r="L15" s="72">
        <v>155</v>
      </c>
      <c r="M15" s="72" t="s">
        <v>323</v>
      </c>
      <c r="N15" s="72" t="s">
        <v>323</v>
      </c>
      <c r="O15" s="72" t="s">
        <v>323</v>
      </c>
      <c r="P15" s="72" t="s">
        <v>121</v>
      </c>
      <c r="Q15" s="73"/>
      <c r="R15" s="75">
        <v>25</v>
      </c>
      <c r="S15" s="72" t="s">
        <v>119</v>
      </c>
      <c r="T15" s="74">
        <v>50295.534</v>
      </c>
      <c r="AD15" s="89">
        <f t="shared" si="1"/>
        <v>111.22023391871267</v>
      </c>
    </row>
    <row r="16" spans="1:31" s="89" customFormat="1" ht="60" customHeight="1" x14ac:dyDescent="0.3">
      <c r="A16" s="70" t="s">
        <v>301</v>
      </c>
      <c r="B16" s="74" t="s">
        <v>442</v>
      </c>
      <c r="C16" s="74" t="s">
        <v>395</v>
      </c>
      <c r="D16" s="74" t="s">
        <v>441</v>
      </c>
      <c r="E16" s="70" t="s">
        <v>126</v>
      </c>
      <c r="F16" s="70">
        <v>2.5</v>
      </c>
      <c r="G16" s="70">
        <v>14.6</v>
      </c>
      <c r="H16" s="70" t="s">
        <v>440</v>
      </c>
      <c r="I16" s="70" t="s">
        <v>227</v>
      </c>
      <c r="J16" s="70" t="s">
        <v>439</v>
      </c>
      <c r="K16" s="70" t="s">
        <v>397</v>
      </c>
      <c r="L16" s="70">
        <v>10</v>
      </c>
      <c r="M16" s="74" t="s">
        <v>121</v>
      </c>
      <c r="N16" s="74" t="s">
        <v>121</v>
      </c>
      <c r="O16" s="74" t="s">
        <v>121</v>
      </c>
      <c r="P16" s="74" t="s">
        <v>121</v>
      </c>
      <c r="Q16" s="74" t="s">
        <v>438</v>
      </c>
      <c r="R16" s="74">
        <v>25</v>
      </c>
      <c r="S16" s="74" t="s">
        <v>119</v>
      </c>
      <c r="T16" s="74" t="s">
        <v>437</v>
      </c>
      <c r="AD16" s="89">
        <f t="shared" si="0"/>
        <v>167.41547250980008</v>
      </c>
      <c r="AE16" s="90"/>
    </row>
    <row r="17" spans="1:30" s="89" customFormat="1" ht="60" customHeight="1" x14ac:dyDescent="0.3">
      <c r="A17" s="70" t="s">
        <v>301</v>
      </c>
      <c r="B17" s="70" t="s">
        <v>436</v>
      </c>
      <c r="C17" s="74" t="s">
        <v>395</v>
      </c>
      <c r="D17" s="74" t="s">
        <v>435</v>
      </c>
      <c r="E17" s="72" t="s">
        <v>126</v>
      </c>
      <c r="F17" s="72">
        <v>2.5</v>
      </c>
      <c r="G17" s="72">
        <v>12.3</v>
      </c>
      <c r="H17" s="72" t="s">
        <v>398</v>
      </c>
      <c r="I17" s="72" t="s">
        <v>227</v>
      </c>
      <c r="J17" s="72" t="s">
        <v>229</v>
      </c>
      <c r="K17" s="72" t="s">
        <v>397</v>
      </c>
      <c r="L17" s="70" t="s">
        <v>152</v>
      </c>
      <c r="M17" s="72" t="s">
        <v>121</v>
      </c>
      <c r="N17" s="72" t="s">
        <v>121</v>
      </c>
      <c r="O17" s="72" t="s">
        <v>121</v>
      </c>
      <c r="P17" s="72" t="s">
        <v>121</v>
      </c>
      <c r="Q17" s="74" t="s">
        <v>406</v>
      </c>
      <c r="R17" s="74">
        <v>20</v>
      </c>
      <c r="S17" s="72" t="s">
        <v>119</v>
      </c>
      <c r="T17" s="74">
        <v>50295.506999999998</v>
      </c>
      <c r="AD17" s="89">
        <f t="shared" si="0"/>
        <v>118.82288814039997</v>
      </c>
    </row>
    <row r="18" spans="1:30" s="89" customFormat="1" ht="60" customHeight="1" x14ac:dyDescent="0.3">
      <c r="A18" s="70" t="s">
        <v>301</v>
      </c>
      <c r="B18" s="70" t="s">
        <v>434</v>
      </c>
      <c r="C18" s="74" t="s">
        <v>395</v>
      </c>
      <c r="D18" s="74" t="s">
        <v>433</v>
      </c>
      <c r="E18" s="72" t="s">
        <v>126</v>
      </c>
      <c r="F18" s="72">
        <v>2.5</v>
      </c>
      <c r="G18" s="72">
        <v>12.3</v>
      </c>
      <c r="H18" s="72" t="s">
        <v>398</v>
      </c>
      <c r="I18" s="72" t="s">
        <v>227</v>
      </c>
      <c r="J18" s="72" t="s">
        <v>229</v>
      </c>
      <c r="K18" s="72" t="s">
        <v>397</v>
      </c>
      <c r="L18" s="70" t="s">
        <v>152</v>
      </c>
      <c r="M18" s="72" t="s">
        <v>121</v>
      </c>
      <c r="N18" s="72" t="s">
        <v>121</v>
      </c>
      <c r="O18" s="72" t="s">
        <v>121</v>
      </c>
      <c r="P18" s="72" t="s">
        <v>121</v>
      </c>
      <c r="Q18" s="74" t="s">
        <v>406</v>
      </c>
      <c r="R18" s="74">
        <v>20</v>
      </c>
      <c r="S18" s="72" t="s">
        <v>119</v>
      </c>
      <c r="T18" s="74">
        <v>50295.506999999998</v>
      </c>
      <c r="AD18" s="89">
        <f t="shared" si="0"/>
        <v>118.82288814039997</v>
      </c>
    </row>
    <row r="19" spans="1:30" s="89" customFormat="1" ht="60" customHeight="1" x14ac:dyDescent="0.3">
      <c r="A19" s="70" t="s">
        <v>301</v>
      </c>
      <c r="B19" s="70" t="s">
        <v>432</v>
      </c>
      <c r="C19" s="74" t="s">
        <v>395</v>
      </c>
      <c r="D19" s="74" t="s">
        <v>431</v>
      </c>
      <c r="E19" s="72" t="s">
        <v>126</v>
      </c>
      <c r="F19" s="72">
        <v>2.5</v>
      </c>
      <c r="G19" s="72">
        <v>12.3</v>
      </c>
      <c r="H19" s="72" t="s">
        <v>398</v>
      </c>
      <c r="I19" s="72" t="s">
        <v>227</v>
      </c>
      <c r="J19" s="72" t="s">
        <v>229</v>
      </c>
      <c r="K19" s="72" t="s">
        <v>397</v>
      </c>
      <c r="L19" s="70" t="s">
        <v>152</v>
      </c>
      <c r="M19" s="72" t="s">
        <v>121</v>
      </c>
      <c r="N19" s="72" t="s">
        <v>121</v>
      </c>
      <c r="O19" s="72" t="s">
        <v>121</v>
      </c>
      <c r="P19" s="72" t="s">
        <v>121</v>
      </c>
      <c r="Q19" s="74" t="s">
        <v>406</v>
      </c>
      <c r="R19" s="74">
        <v>20</v>
      </c>
      <c r="S19" s="72" t="s">
        <v>119</v>
      </c>
      <c r="T19" s="74">
        <v>50295.506999999998</v>
      </c>
      <c r="AD19" s="89">
        <f t="shared" si="0"/>
        <v>118.82288814039997</v>
      </c>
    </row>
    <row r="20" spans="1:30" s="89" customFormat="1" ht="60" customHeight="1" x14ac:dyDescent="0.3">
      <c r="A20" s="70" t="s">
        <v>301</v>
      </c>
      <c r="B20" s="70" t="s">
        <v>430</v>
      </c>
      <c r="C20" s="74" t="s">
        <v>395</v>
      </c>
      <c r="D20" s="74" t="s">
        <v>429</v>
      </c>
      <c r="E20" s="72" t="s">
        <v>126</v>
      </c>
      <c r="F20" s="72">
        <v>2.5</v>
      </c>
      <c r="G20" s="72">
        <v>11.3</v>
      </c>
      <c r="H20" s="72" t="s">
        <v>214</v>
      </c>
      <c r="I20" s="72" t="s">
        <v>227</v>
      </c>
      <c r="J20" s="72" t="s">
        <v>229</v>
      </c>
      <c r="K20" s="72" t="s">
        <v>226</v>
      </c>
      <c r="L20" s="70" t="s">
        <v>152</v>
      </c>
      <c r="M20" s="72" t="s">
        <v>121</v>
      </c>
      <c r="N20" s="72" t="s">
        <v>121</v>
      </c>
      <c r="O20" s="72" t="s">
        <v>121</v>
      </c>
      <c r="P20" s="72" t="s">
        <v>121</v>
      </c>
      <c r="Q20" s="74" t="s">
        <v>406</v>
      </c>
      <c r="R20" s="74">
        <v>20</v>
      </c>
      <c r="S20" s="72" t="s">
        <v>119</v>
      </c>
      <c r="T20" s="74">
        <v>50295.506999999998</v>
      </c>
      <c r="AD20" s="89">
        <f t="shared" si="0"/>
        <v>100.28749148422018</v>
      </c>
    </row>
    <row r="21" spans="1:30" s="89" customFormat="1" ht="60" customHeight="1" x14ac:dyDescent="0.3">
      <c r="A21" s="70" t="s">
        <v>301</v>
      </c>
      <c r="B21" s="70" t="s">
        <v>428</v>
      </c>
      <c r="C21" s="74" t="s">
        <v>395</v>
      </c>
      <c r="D21" s="74" t="s">
        <v>427</v>
      </c>
      <c r="E21" s="72" t="s">
        <v>126</v>
      </c>
      <c r="F21" s="72">
        <v>2.5</v>
      </c>
      <c r="G21" s="72">
        <v>11.3</v>
      </c>
      <c r="H21" s="72" t="s">
        <v>214</v>
      </c>
      <c r="I21" s="72" t="s">
        <v>227</v>
      </c>
      <c r="J21" s="72" t="s">
        <v>229</v>
      </c>
      <c r="K21" s="72" t="s">
        <v>226</v>
      </c>
      <c r="L21" s="70" t="s">
        <v>152</v>
      </c>
      <c r="M21" s="72" t="s">
        <v>121</v>
      </c>
      <c r="N21" s="72" t="s">
        <v>121</v>
      </c>
      <c r="O21" s="72" t="s">
        <v>121</v>
      </c>
      <c r="P21" s="72" t="s">
        <v>121</v>
      </c>
      <c r="Q21" s="74" t="s">
        <v>406</v>
      </c>
      <c r="R21" s="74">
        <v>20</v>
      </c>
      <c r="S21" s="72" t="s">
        <v>119</v>
      </c>
      <c r="T21" s="74">
        <v>50295.506999999998</v>
      </c>
      <c r="AD21" s="89">
        <f t="shared" si="0"/>
        <v>100.28749148422018</v>
      </c>
    </row>
    <row r="22" spans="1:30" s="89" customFormat="1" ht="60" customHeight="1" x14ac:dyDescent="0.3">
      <c r="A22" s="70" t="s">
        <v>301</v>
      </c>
      <c r="B22" s="70" t="s">
        <v>426</v>
      </c>
      <c r="C22" s="74" t="s">
        <v>395</v>
      </c>
      <c r="D22" s="74" t="s">
        <v>425</v>
      </c>
      <c r="E22" s="72" t="s">
        <v>126</v>
      </c>
      <c r="F22" s="72">
        <v>2.5</v>
      </c>
      <c r="G22" s="72">
        <v>11.3</v>
      </c>
      <c r="H22" s="72" t="s">
        <v>214</v>
      </c>
      <c r="I22" s="72" t="s">
        <v>227</v>
      </c>
      <c r="J22" s="72" t="s">
        <v>229</v>
      </c>
      <c r="K22" s="72" t="s">
        <v>226</v>
      </c>
      <c r="L22" s="70" t="s">
        <v>152</v>
      </c>
      <c r="M22" s="72" t="s">
        <v>121</v>
      </c>
      <c r="N22" s="72" t="s">
        <v>121</v>
      </c>
      <c r="O22" s="72" t="s">
        <v>121</v>
      </c>
      <c r="P22" s="72" t="s">
        <v>121</v>
      </c>
      <c r="Q22" s="74" t="s">
        <v>406</v>
      </c>
      <c r="R22" s="74">
        <v>20</v>
      </c>
      <c r="S22" s="72" t="s">
        <v>119</v>
      </c>
      <c r="T22" s="74">
        <v>50295.506999999998</v>
      </c>
      <c r="AD22" s="89">
        <f t="shared" si="0"/>
        <v>100.28749148422018</v>
      </c>
    </row>
    <row r="23" spans="1:30" s="89" customFormat="1" ht="60" customHeight="1" x14ac:dyDescent="0.3">
      <c r="A23" s="70" t="s">
        <v>301</v>
      </c>
      <c r="B23" s="70" t="s">
        <v>424</v>
      </c>
      <c r="C23" s="74" t="s">
        <v>395</v>
      </c>
      <c r="D23" s="74" t="s">
        <v>423</v>
      </c>
      <c r="E23" s="72" t="s">
        <v>126</v>
      </c>
      <c r="F23" s="72">
        <v>2.5</v>
      </c>
      <c r="G23" s="72">
        <v>11.3</v>
      </c>
      <c r="H23" s="72" t="s">
        <v>214</v>
      </c>
      <c r="I23" s="72" t="s">
        <v>227</v>
      </c>
      <c r="J23" s="72" t="s">
        <v>229</v>
      </c>
      <c r="K23" s="72" t="s">
        <v>226</v>
      </c>
      <c r="L23" s="70" t="s">
        <v>152</v>
      </c>
      <c r="M23" s="72" t="s">
        <v>121</v>
      </c>
      <c r="N23" s="72" t="s">
        <v>121</v>
      </c>
      <c r="O23" s="72" t="s">
        <v>121</v>
      </c>
      <c r="P23" s="72" t="s">
        <v>121</v>
      </c>
      <c r="Q23" s="74" t="s">
        <v>406</v>
      </c>
      <c r="R23" s="74">
        <v>20</v>
      </c>
      <c r="S23" s="72" t="s">
        <v>119</v>
      </c>
      <c r="T23" s="74">
        <v>50295.506999999998</v>
      </c>
      <c r="AD23" s="89">
        <f t="shared" si="0"/>
        <v>100.28749148422018</v>
      </c>
    </row>
    <row r="24" spans="1:30" s="89" customFormat="1" ht="60" customHeight="1" x14ac:dyDescent="0.3">
      <c r="A24" s="70" t="s">
        <v>301</v>
      </c>
      <c r="B24" s="70" t="s">
        <v>422</v>
      </c>
      <c r="C24" s="74" t="s">
        <v>395</v>
      </c>
      <c r="D24" s="74" t="s">
        <v>421</v>
      </c>
      <c r="E24" s="72" t="s">
        <v>126</v>
      </c>
      <c r="F24" s="72">
        <v>2.5</v>
      </c>
      <c r="G24" s="72">
        <v>11.3</v>
      </c>
      <c r="H24" s="72" t="s">
        <v>214</v>
      </c>
      <c r="I24" s="72" t="s">
        <v>227</v>
      </c>
      <c r="J24" s="72" t="s">
        <v>229</v>
      </c>
      <c r="K24" s="72" t="s">
        <v>226</v>
      </c>
      <c r="L24" s="70" t="s">
        <v>152</v>
      </c>
      <c r="M24" s="72" t="s">
        <v>121</v>
      </c>
      <c r="N24" s="72" t="s">
        <v>121</v>
      </c>
      <c r="O24" s="72" t="s">
        <v>121</v>
      </c>
      <c r="P24" s="72" t="s">
        <v>121</v>
      </c>
      <c r="Q24" s="74" t="s">
        <v>406</v>
      </c>
      <c r="R24" s="74">
        <v>20</v>
      </c>
      <c r="S24" s="72" t="s">
        <v>119</v>
      </c>
      <c r="T24" s="74">
        <v>50295.506999999998</v>
      </c>
      <c r="AD24" s="89">
        <f t="shared" si="0"/>
        <v>100.28749148422018</v>
      </c>
    </row>
    <row r="25" spans="1:30" s="89" customFormat="1" ht="60" customHeight="1" x14ac:dyDescent="0.3">
      <c r="A25" s="70" t="s">
        <v>301</v>
      </c>
      <c r="B25" s="70" t="s">
        <v>420</v>
      </c>
      <c r="C25" s="74" t="s">
        <v>395</v>
      </c>
      <c r="D25" s="74" t="s">
        <v>419</v>
      </c>
      <c r="E25" s="72" t="s">
        <v>126</v>
      </c>
      <c r="F25" s="72">
        <v>2.5</v>
      </c>
      <c r="G25" s="72">
        <v>11.3</v>
      </c>
      <c r="H25" s="72" t="s">
        <v>214</v>
      </c>
      <c r="I25" s="72" t="s">
        <v>227</v>
      </c>
      <c r="J25" s="72" t="s">
        <v>229</v>
      </c>
      <c r="K25" s="72" t="s">
        <v>226</v>
      </c>
      <c r="L25" s="70" t="s">
        <v>152</v>
      </c>
      <c r="M25" s="72" t="s">
        <v>121</v>
      </c>
      <c r="N25" s="72" t="s">
        <v>121</v>
      </c>
      <c r="O25" s="72" t="s">
        <v>121</v>
      </c>
      <c r="P25" s="72" t="s">
        <v>121</v>
      </c>
      <c r="Q25" s="74" t="s">
        <v>406</v>
      </c>
      <c r="R25" s="74">
        <v>20</v>
      </c>
      <c r="S25" s="72" t="s">
        <v>119</v>
      </c>
      <c r="T25" s="74">
        <v>50295.506999999998</v>
      </c>
      <c r="AD25" s="89">
        <f t="shared" si="0"/>
        <v>100.28749148422018</v>
      </c>
    </row>
    <row r="26" spans="1:30" s="89" customFormat="1" ht="60" customHeight="1" x14ac:dyDescent="0.3">
      <c r="A26" s="70" t="s">
        <v>301</v>
      </c>
      <c r="B26" s="70" t="s">
        <v>418</v>
      </c>
      <c r="C26" s="74" t="s">
        <v>395</v>
      </c>
      <c r="D26" s="74" t="s">
        <v>417</v>
      </c>
      <c r="E26" s="72" t="s">
        <v>126</v>
      </c>
      <c r="F26" s="72">
        <v>2.5</v>
      </c>
      <c r="G26" s="72">
        <v>11.3</v>
      </c>
      <c r="H26" s="72" t="s">
        <v>214</v>
      </c>
      <c r="I26" s="72" t="s">
        <v>227</v>
      </c>
      <c r="J26" s="72" t="s">
        <v>229</v>
      </c>
      <c r="K26" s="72" t="s">
        <v>226</v>
      </c>
      <c r="L26" s="70" t="s">
        <v>152</v>
      </c>
      <c r="M26" s="72" t="s">
        <v>121</v>
      </c>
      <c r="N26" s="72" t="s">
        <v>121</v>
      </c>
      <c r="O26" s="72" t="s">
        <v>121</v>
      </c>
      <c r="P26" s="72" t="s">
        <v>121</v>
      </c>
      <c r="Q26" s="74" t="s">
        <v>406</v>
      </c>
      <c r="R26" s="74">
        <v>20</v>
      </c>
      <c r="S26" s="72" t="s">
        <v>119</v>
      </c>
      <c r="T26" s="74">
        <v>50295.506999999998</v>
      </c>
      <c r="AD26" s="89">
        <f t="shared" si="0"/>
        <v>100.28749148422018</v>
      </c>
    </row>
    <row r="27" spans="1:30" ht="60" customHeight="1" x14ac:dyDescent="0.3">
      <c r="A27" s="70" t="s">
        <v>301</v>
      </c>
      <c r="B27" s="70" t="s">
        <v>416</v>
      </c>
      <c r="C27" s="74" t="s">
        <v>395</v>
      </c>
      <c r="D27" s="70" t="s">
        <v>415</v>
      </c>
      <c r="E27" s="72" t="s">
        <v>126</v>
      </c>
      <c r="F27" s="72">
        <v>2.5</v>
      </c>
      <c r="G27" s="72">
        <v>11.3</v>
      </c>
      <c r="H27" s="72" t="s">
        <v>214</v>
      </c>
      <c r="I27" s="72" t="s">
        <v>227</v>
      </c>
      <c r="J27" s="72" t="s">
        <v>229</v>
      </c>
      <c r="K27" s="72" t="s">
        <v>226</v>
      </c>
      <c r="L27" s="70">
        <v>15</v>
      </c>
      <c r="M27" s="72" t="s">
        <v>121</v>
      </c>
      <c r="N27" s="72" t="s">
        <v>121</v>
      </c>
      <c r="O27" s="72" t="s">
        <v>121</v>
      </c>
      <c r="P27" s="72" t="s">
        <v>121</v>
      </c>
      <c r="Q27" s="74"/>
      <c r="R27" s="74">
        <v>20</v>
      </c>
      <c r="S27" s="72" t="s">
        <v>119</v>
      </c>
      <c r="T27" s="74">
        <v>50295.506999999998</v>
      </c>
      <c r="AD27" s="89">
        <f t="shared" si="0"/>
        <v>100.28749148422018</v>
      </c>
    </row>
    <row r="28" spans="1:30" ht="60" customHeight="1" x14ac:dyDescent="0.3">
      <c r="A28" s="70" t="s">
        <v>301</v>
      </c>
      <c r="B28" s="70" t="s">
        <v>414</v>
      </c>
      <c r="C28" s="74" t="s">
        <v>395</v>
      </c>
      <c r="D28" s="70" t="s">
        <v>413</v>
      </c>
      <c r="E28" s="72" t="s">
        <v>126</v>
      </c>
      <c r="F28" s="72">
        <v>2.5</v>
      </c>
      <c r="G28" s="72">
        <v>12.3</v>
      </c>
      <c r="H28" s="72" t="s">
        <v>398</v>
      </c>
      <c r="I28" s="72" t="s">
        <v>227</v>
      </c>
      <c r="J28" s="72" t="s">
        <v>229</v>
      </c>
      <c r="K28" s="72" t="s">
        <v>397</v>
      </c>
      <c r="L28" s="70" t="s">
        <v>152</v>
      </c>
      <c r="M28" s="72" t="s">
        <v>121</v>
      </c>
      <c r="N28" s="72" t="s">
        <v>121</v>
      </c>
      <c r="O28" s="72" t="s">
        <v>121</v>
      </c>
      <c r="P28" s="72" t="s">
        <v>121</v>
      </c>
      <c r="Q28" s="74" t="s">
        <v>406</v>
      </c>
      <c r="R28" s="74">
        <v>20</v>
      </c>
      <c r="S28" s="72" t="s">
        <v>119</v>
      </c>
      <c r="T28" s="74">
        <v>50295.506999999998</v>
      </c>
      <c r="AD28" s="89">
        <f t="shared" si="0"/>
        <v>118.82288814039997</v>
      </c>
    </row>
    <row r="29" spans="1:30" s="89" customFormat="1" ht="60" customHeight="1" x14ac:dyDescent="0.3">
      <c r="A29" s="70" t="s">
        <v>301</v>
      </c>
      <c r="B29" s="70" t="s">
        <v>412</v>
      </c>
      <c r="C29" s="74" t="s">
        <v>395</v>
      </c>
      <c r="D29" s="70" t="s">
        <v>411</v>
      </c>
      <c r="E29" s="72" t="s">
        <v>126</v>
      </c>
      <c r="F29" s="72">
        <v>2.5</v>
      </c>
      <c r="G29" s="72">
        <v>12.3</v>
      </c>
      <c r="H29" s="72" t="s">
        <v>398</v>
      </c>
      <c r="I29" s="72" t="s">
        <v>227</v>
      </c>
      <c r="J29" s="72" t="s">
        <v>229</v>
      </c>
      <c r="K29" s="72" t="s">
        <v>397</v>
      </c>
      <c r="L29" s="70" t="s">
        <v>152</v>
      </c>
      <c r="M29" s="72" t="s">
        <v>121</v>
      </c>
      <c r="N29" s="72" t="s">
        <v>121</v>
      </c>
      <c r="O29" s="72" t="s">
        <v>121</v>
      </c>
      <c r="P29" s="72" t="s">
        <v>121</v>
      </c>
      <c r="Q29" s="74" t="s">
        <v>406</v>
      </c>
      <c r="R29" s="74">
        <v>20</v>
      </c>
      <c r="S29" s="72" t="s">
        <v>119</v>
      </c>
      <c r="T29" s="74">
        <v>50295.506999999998</v>
      </c>
      <c r="AD29" s="89">
        <f t="shared" si="0"/>
        <v>118.82288814039997</v>
      </c>
    </row>
    <row r="30" spans="1:30" s="89" customFormat="1" ht="60" customHeight="1" x14ac:dyDescent="0.3">
      <c r="A30" s="70" t="s">
        <v>301</v>
      </c>
      <c r="B30" s="70" t="s">
        <v>410</v>
      </c>
      <c r="C30" s="74" t="s">
        <v>395</v>
      </c>
      <c r="D30" s="70" t="s">
        <v>409</v>
      </c>
      <c r="E30" s="72" t="s">
        <v>126</v>
      </c>
      <c r="F30" s="72">
        <v>2.5</v>
      </c>
      <c r="G30" s="72">
        <v>12.3</v>
      </c>
      <c r="H30" s="72" t="s">
        <v>398</v>
      </c>
      <c r="I30" s="72" t="s">
        <v>227</v>
      </c>
      <c r="J30" s="72" t="s">
        <v>229</v>
      </c>
      <c r="K30" s="72" t="s">
        <v>397</v>
      </c>
      <c r="L30" s="70" t="s">
        <v>152</v>
      </c>
      <c r="M30" s="72" t="s">
        <v>121</v>
      </c>
      <c r="N30" s="72" t="s">
        <v>121</v>
      </c>
      <c r="O30" s="72" t="s">
        <v>121</v>
      </c>
      <c r="P30" s="72" t="s">
        <v>121</v>
      </c>
      <c r="Q30" s="74" t="s">
        <v>406</v>
      </c>
      <c r="R30" s="74">
        <v>20</v>
      </c>
      <c r="S30" s="72" t="s">
        <v>119</v>
      </c>
      <c r="T30" s="74">
        <v>50295.506999999998</v>
      </c>
      <c r="AD30" s="89">
        <f t="shared" si="0"/>
        <v>118.82288814039997</v>
      </c>
    </row>
    <row r="31" spans="1:30" s="89" customFormat="1" ht="60" customHeight="1" x14ac:dyDescent="0.3">
      <c r="A31" s="70" t="s">
        <v>301</v>
      </c>
      <c r="B31" s="70" t="s">
        <v>408</v>
      </c>
      <c r="C31" s="74" t="s">
        <v>395</v>
      </c>
      <c r="D31" s="70" t="s">
        <v>407</v>
      </c>
      <c r="E31" s="72" t="s">
        <v>126</v>
      </c>
      <c r="F31" s="72">
        <v>2.5</v>
      </c>
      <c r="G31" s="72">
        <v>12.3</v>
      </c>
      <c r="H31" s="72" t="s">
        <v>398</v>
      </c>
      <c r="I31" s="72" t="s">
        <v>227</v>
      </c>
      <c r="J31" s="72" t="s">
        <v>229</v>
      </c>
      <c r="K31" s="72" t="s">
        <v>397</v>
      </c>
      <c r="L31" s="70" t="s">
        <v>152</v>
      </c>
      <c r="M31" s="72" t="s">
        <v>121</v>
      </c>
      <c r="N31" s="72" t="s">
        <v>121</v>
      </c>
      <c r="O31" s="72" t="s">
        <v>121</v>
      </c>
      <c r="P31" s="72" t="s">
        <v>121</v>
      </c>
      <c r="Q31" s="74" t="s">
        <v>406</v>
      </c>
      <c r="R31" s="74">
        <v>20</v>
      </c>
      <c r="S31" s="72" t="s">
        <v>119</v>
      </c>
      <c r="T31" s="74">
        <v>50295.506999999998</v>
      </c>
      <c r="AD31" s="89">
        <f t="shared" si="0"/>
        <v>118.82288814039997</v>
      </c>
    </row>
    <row r="32" spans="1:30" s="89" customFormat="1" ht="60" customHeight="1" x14ac:dyDescent="0.3">
      <c r="A32" s="70" t="s">
        <v>301</v>
      </c>
      <c r="B32" s="70" t="s">
        <v>405</v>
      </c>
      <c r="C32" s="74" t="s">
        <v>395</v>
      </c>
      <c r="D32" s="74" t="s">
        <v>404</v>
      </c>
      <c r="E32" s="72" t="s">
        <v>126</v>
      </c>
      <c r="F32" s="72">
        <v>2.5</v>
      </c>
      <c r="G32" s="72">
        <v>11.3</v>
      </c>
      <c r="H32" s="72" t="s">
        <v>214</v>
      </c>
      <c r="I32" s="72" t="s">
        <v>227</v>
      </c>
      <c r="J32" s="72" t="s">
        <v>229</v>
      </c>
      <c r="K32" s="72" t="s">
        <v>226</v>
      </c>
      <c r="L32" s="70">
        <v>15</v>
      </c>
      <c r="M32" s="72" t="s">
        <v>121</v>
      </c>
      <c r="N32" s="72" t="s">
        <v>121</v>
      </c>
      <c r="O32" s="72" t="s">
        <v>121</v>
      </c>
      <c r="P32" s="72" t="s">
        <v>121</v>
      </c>
      <c r="Q32" s="76"/>
      <c r="R32" s="74">
        <v>20</v>
      </c>
      <c r="S32" s="72" t="s">
        <v>119</v>
      </c>
      <c r="T32" s="74" t="s">
        <v>403</v>
      </c>
      <c r="AD32" s="89">
        <f>IF(PI()*(G32/2)^2=0,"",PI()*(G32/2)^2)</f>
        <v>100.28749148422018</v>
      </c>
    </row>
    <row r="33" spans="1:31" ht="60" customHeight="1" x14ac:dyDescent="0.3">
      <c r="A33" s="70" t="s">
        <v>301</v>
      </c>
      <c r="B33" s="70" t="s">
        <v>402</v>
      </c>
      <c r="C33" s="74" t="s">
        <v>395</v>
      </c>
      <c r="D33" s="74" t="s">
        <v>400</v>
      </c>
      <c r="E33" s="72" t="s">
        <v>126</v>
      </c>
      <c r="F33" s="72">
        <v>2.5</v>
      </c>
      <c r="G33" s="72">
        <v>12.3</v>
      </c>
      <c r="H33" s="72" t="s">
        <v>398</v>
      </c>
      <c r="I33" s="72" t="s">
        <v>227</v>
      </c>
      <c r="J33" s="72" t="s">
        <v>229</v>
      </c>
      <c r="K33" s="72" t="s">
        <v>397</v>
      </c>
      <c r="L33" s="70" t="s">
        <v>152</v>
      </c>
      <c r="M33" s="72" t="s">
        <v>121</v>
      </c>
      <c r="N33" s="72" t="s">
        <v>121</v>
      </c>
      <c r="O33" s="72" t="s">
        <v>121</v>
      </c>
      <c r="P33" s="72" t="s">
        <v>121</v>
      </c>
      <c r="Q33" s="74"/>
      <c r="R33" s="74">
        <v>20</v>
      </c>
      <c r="S33" s="72" t="s">
        <v>119</v>
      </c>
      <c r="T33" s="74">
        <v>50295.506999999998</v>
      </c>
      <c r="AD33" s="89">
        <f t="shared" si="0"/>
        <v>118.82288814039997</v>
      </c>
    </row>
    <row r="34" spans="1:31" s="89" customFormat="1" ht="60" customHeight="1" x14ac:dyDescent="0.3">
      <c r="A34" s="70" t="s">
        <v>301</v>
      </c>
      <c r="B34" s="70" t="s">
        <v>401</v>
      </c>
      <c r="C34" s="74" t="s">
        <v>400</v>
      </c>
      <c r="D34" s="74" t="s">
        <v>399</v>
      </c>
      <c r="E34" s="72" t="s">
        <v>126</v>
      </c>
      <c r="F34" s="72">
        <v>2.5</v>
      </c>
      <c r="G34" s="72">
        <v>12.3</v>
      </c>
      <c r="H34" s="72" t="s">
        <v>398</v>
      </c>
      <c r="I34" s="72" t="s">
        <v>227</v>
      </c>
      <c r="J34" s="72" t="s">
        <v>229</v>
      </c>
      <c r="K34" s="72" t="s">
        <v>397</v>
      </c>
      <c r="L34" s="70" t="s">
        <v>152</v>
      </c>
      <c r="M34" s="72" t="s">
        <v>121</v>
      </c>
      <c r="N34" s="72" t="s">
        <v>121</v>
      </c>
      <c r="O34" s="72" t="s">
        <v>121</v>
      </c>
      <c r="P34" s="72" t="s">
        <v>121</v>
      </c>
      <c r="Q34" s="74"/>
      <c r="R34" s="74">
        <v>20</v>
      </c>
      <c r="S34" s="72" t="s">
        <v>119</v>
      </c>
      <c r="T34" s="74">
        <v>50295.506999999998</v>
      </c>
      <c r="AD34" s="89">
        <f t="shared" si="0"/>
        <v>118.82288814039997</v>
      </c>
    </row>
    <row r="35" spans="1:31" s="89" customFormat="1" ht="60" customHeight="1" x14ac:dyDescent="0.3">
      <c r="A35" s="70" t="s">
        <v>130</v>
      </c>
      <c r="B35" s="70" t="s">
        <v>396</v>
      </c>
      <c r="C35" s="74" t="s">
        <v>395</v>
      </c>
      <c r="D35" s="74" t="s">
        <v>357</v>
      </c>
      <c r="E35" s="70" t="s">
        <v>126</v>
      </c>
      <c r="F35" s="70">
        <v>10</v>
      </c>
      <c r="G35" s="70">
        <v>17.5</v>
      </c>
      <c r="H35" s="70" t="s">
        <v>394</v>
      </c>
      <c r="I35" s="70" t="s">
        <v>227</v>
      </c>
      <c r="J35" s="70" t="s">
        <v>229</v>
      </c>
      <c r="K35" s="70" t="s">
        <v>226</v>
      </c>
      <c r="L35" s="70">
        <v>130</v>
      </c>
      <c r="M35" s="77" t="s">
        <v>323</v>
      </c>
      <c r="N35" s="77" t="s">
        <v>323</v>
      </c>
      <c r="O35" s="77" t="s">
        <v>323</v>
      </c>
      <c r="P35" s="77" t="s">
        <v>121</v>
      </c>
      <c r="Q35" s="76" t="s">
        <v>393</v>
      </c>
      <c r="R35" s="75">
        <v>25</v>
      </c>
      <c r="S35" s="72" t="s">
        <v>119</v>
      </c>
      <c r="T35" s="74" t="s">
        <v>392</v>
      </c>
      <c r="AD35" s="89">
        <f t="shared" si="0"/>
        <v>240.52818754046854</v>
      </c>
    </row>
    <row r="36" spans="1:31" s="89" customFormat="1" ht="60" customHeight="1" x14ac:dyDescent="0.3">
      <c r="A36" s="70" t="s">
        <v>301</v>
      </c>
      <c r="B36" s="70" t="s">
        <v>391</v>
      </c>
      <c r="C36" s="74" t="s">
        <v>357</v>
      </c>
      <c r="D36" s="74" t="s">
        <v>388</v>
      </c>
      <c r="E36" s="72" t="s">
        <v>126</v>
      </c>
      <c r="F36" s="72">
        <v>2.5</v>
      </c>
      <c r="G36" s="72">
        <v>11.3</v>
      </c>
      <c r="H36" s="72" t="s">
        <v>214</v>
      </c>
      <c r="I36" s="72" t="s">
        <v>227</v>
      </c>
      <c r="J36" s="72" t="s">
        <v>229</v>
      </c>
      <c r="K36" s="72" t="s">
        <v>226</v>
      </c>
      <c r="L36" s="70">
        <v>16</v>
      </c>
      <c r="M36" s="72" t="s">
        <v>121</v>
      </c>
      <c r="N36" s="72" t="s">
        <v>121</v>
      </c>
      <c r="O36" s="72" t="s">
        <v>121</v>
      </c>
      <c r="P36" s="72" t="s">
        <v>121</v>
      </c>
      <c r="Q36" s="73"/>
      <c r="R36" s="74">
        <v>20</v>
      </c>
      <c r="S36" s="72" t="s">
        <v>119</v>
      </c>
      <c r="T36" s="74" t="s">
        <v>390</v>
      </c>
      <c r="AD36" s="89">
        <f t="shared" si="0"/>
        <v>100.28749148422018</v>
      </c>
      <c r="AE36" s="90"/>
    </row>
    <row r="37" spans="1:31" s="89" customFormat="1" ht="60" customHeight="1" x14ac:dyDescent="0.3">
      <c r="A37" s="70" t="s">
        <v>301</v>
      </c>
      <c r="B37" s="70" t="s">
        <v>389</v>
      </c>
      <c r="C37" s="74" t="s">
        <v>388</v>
      </c>
      <c r="D37" s="74" t="s">
        <v>386</v>
      </c>
      <c r="E37" s="72" t="s">
        <v>126</v>
      </c>
      <c r="F37" s="72">
        <v>2.5</v>
      </c>
      <c r="G37" s="72">
        <v>11.3</v>
      </c>
      <c r="H37" s="72" t="s">
        <v>214</v>
      </c>
      <c r="I37" s="72" t="s">
        <v>227</v>
      </c>
      <c r="J37" s="72" t="s">
        <v>229</v>
      </c>
      <c r="K37" s="72" t="s">
        <v>226</v>
      </c>
      <c r="L37" s="70">
        <v>7</v>
      </c>
      <c r="M37" s="72"/>
      <c r="N37" s="72"/>
      <c r="O37" s="72"/>
      <c r="P37" s="72"/>
      <c r="Q37" s="73"/>
      <c r="R37" s="74">
        <v>20</v>
      </c>
      <c r="S37" s="72" t="s">
        <v>119</v>
      </c>
      <c r="T37" s="74">
        <v>50295.614000000001</v>
      </c>
      <c r="AD37" s="89">
        <f t="shared" si="0"/>
        <v>100.28749148422018</v>
      </c>
      <c r="AE37" s="90"/>
    </row>
    <row r="38" spans="1:31" s="89" customFormat="1" ht="60" customHeight="1" x14ac:dyDescent="0.3">
      <c r="A38" s="70" t="s">
        <v>301</v>
      </c>
      <c r="B38" s="70" t="s">
        <v>387</v>
      </c>
      <c r="C38" s="74" t="s">
        <v>386</v>
      </c>
      <c r="D38" s="74" t="s">
        <v>384</v>
      </c>
      <c r="E38" s="72" t="s">
        <v>126</v>
      </c>
      <c r="F38" s="72">
        <v>2.5</v>
      </c>
      <c r="G38" s="72">
        <v>11.3</v>
      </c>
      <c r="H38" s="72" t="s">
        <v>214</v>
      </c>
      <c r="I38" s="72" t="s">
        <v>227</v>
      </c>
      <c r="J38" s="72" t="s">
        <v>229</v>
      </c>
      <c r="K38" s="72" t="s">
        <v>226</v>
      </c>
      <c r="L38" s="70">
        <v>7</v>
      </c>
      <c r="M38" s="72"/>
      <c r="N38" s="72"/>
      <c r="O38" s="72"/>
      <c r="P38" s="72"/>
      <c r="Q38" s="73"/>
      <c r="R38" s="74">
        <v>20</v>
      </c>
      <c r="S38" s="72" t="s">
        <v>119</v>
      </c>
      <c r="T38" s="74">
        <v>50295.614000000001</v>
      </c>
      <c r="AD38" s="89">
        <f t="shared" si="0"/>
        <v>100.28749148422018</v>
      </c>
      <c r="AE38" s="90"/>
    </row>
    <row r="39" spans="1:31" s="89" customFormat="1" ht="60" customHeight="1" x14ac:dyDescent="0.3">
      <c r="A39" s="70" t="s">
        <v>301</v>
      </c>
      <c r="B39" s="70" t="s">
        <v>385</v>
      </c>
      <c r="C39" s="74" t="s">
        <v>384</v>
      </c>
      <c r="D39" s="74" t="s">
        <v>382</v>
      </c>
      <c r="E39" s="72" t="s">
        <v>126</v>
      </c>
      <c r="F39" s="72">
        <v>2.5</v>
      </c>
      <c r="G39" s="72">
        <v>11.3</v>
      </c>
      <c r="H39" s="72" t="s">
        <v>214</v>
      </c>
      <c r="I39" s="72" t="s">
        <v>227</v>
      </c>
      <c r="J39" s="72" t="s">
        <v>229</v>
      </c>
      <c r="K39" s="72" t="s">
        <v>226</v>
      </c>
      <c r="L39" s="70">
        <v>15</v>
      </c>
      <c r="M39" s="72"/>
      <c r="N39" s="72"/>
      <c r="O39" s="72"/>
      <c r="P39" s="72"/>
      <c r="Q39" s="73"/>
      <c r="R39" s="74">
        <v>20</v>
      </c>
      <c r="S39" s="72" t="s">
        <v>119</v>
      </c>
      <c r="T39" s="74">
        <v>50295.614000000001</v>
      </c>
      <c r="AD39" s="89">
        <f t="shared" si="0"/>
        <v>100.28749148422018</v>
      </c>
      <c r="AE39" s="90"/>
    </row>
    <row r="40" spans="1:31" s="89" customFormat="1" ht="60" customHeight="1" x14ac:dyDescent="0.3">
      <c r="A40" s="70" t="s">
        <v>301</v>
      </c>
      <c r="B40" s="70" t="s">
        <v>383</v>
      </c>
      <c r="C40" s="74" t="s">
        <v>382</v>
      </c>
      <c r="D40" s="74" t="s">
        <v>380</v>
      </c>
      <c r="E40" s="72" t="s">
        <v>126</v>
      </c>
      <c r="F40" s="72">
        <v>2.5</v>
      </c>
      <c r="G40" s="72">
        <v>11.3</v>
      </c>
      <c r="H40" s="72" t="s">
        <v>214</v>
      </c>
      <c r="I40" s="72" t="s">
        <v>227</v>
      </c>
      <c r="J40" s="72" t="s">
        <v>229</v>
      </c>
      <c r="K40" s="72" t="s">
        <v>226</v>
      </c>
      <c r="L40" s="70">
        <v>7</v>
      </c>
      <c r="M40" s="72"/>
      <c r="N40" s="72"/>
      <c r="O40" s="72"/>
      <c r="P40" s="72"/>
      <c r="Q40" s="73"/>
      <c r="R40" s="74">
        <v>20</v>
      </c>
      <c r="S40" s="72" t="s">
        <v>119</v>
      </c>
      <c r="T40" s="74">
        <v>50295.614000000001</v>
      </c>
      <c r="AD40" s="89">
        <f t="shared" si="0"/>
        <v>100.28749148422018</v>
      </c>
      <c r="AE40" s="90"/>
    </row>
    <row r="41" spans="1:31" s="89" customFormat="1" ht="60" customHeight="1" x14ac:dyDescent="0.3">
      <c r="A41" s="70" t="s">
        <v>301</v>
      </c>
      <c r="B41" s="70" t="s">
        <v>381</v>
      </c>
      <c r="C41" s="74" t="s">
        <v>380</v>
      </c>
      <c r="D41" s="74" t="s">
        <v>378</v>
      </c>
      <c r="E41" s="72" t="s">
        <v>126</v>
      </c>
      <c r="F41" s="72">
        <v>2.5</v>
      </c>
      <c r="G41" s="72">
        <v>11.3</v>
      </c>
      <c r="H41" s="72" t="s">
        <v>214</v>
      </c>
      <c r="I41" s="72" t="s">
        <v>227</v>
      </c>
      <c r="J41" s="72" t="s">
        <v>229</v>
      </c>
      <c r="K41" s="72" t="s">
        <v>226</v>
      </c>
      <c r="L41" s="70">
        <v>7</v>
      </c>
      <c r="M41" s="72"/>
      <c r="N41" s="72"/>
      <c r="O41" s="72"/>
      <c r="P41" s="72"/>
      <c r="Q41" s="73"/>
      <c r="R41" s="74">
        <v>20</v>
      </c>
      <c r="S41" s="72" t="s">
        <v>119</v>
      </c>
      <c r="T41" s="74">
        <v>50295.614000000001</v>
      </c>
      <c r="AD41" s="89">
        <f t="shared" si="0"/>
        <v>100.28749148422018</v>
      </c>
      <c r="AE41" s="90"/>
    </row>
    <row r="42" spans="1:31" s="89" customFormat="1" ht="60" customHeight="1" x14ac:dyDescent="0.3">
      <c r="A42" s="70" t="s">
        <v>301</v>
      </c>
      <c r="B42" s="70" t="s">
        <v>379</v>
      </c>
      <c r="C42" s="74" t="s">
        <v>378</v>
      </c>
      <c r="D42" s="74" t="s">
        <v>377</v>
      </c>
      <c r="E42" s="72" t="s">
        <v>126</v>
      </c>
      <c r="F42" s="72">
        <v>2.5</v>
      </c>
      <c r="G42" s="72">
        <v>11.3</v>
      </c>
      <c r="H42" s="72" t="s">
        <v>214</v>
      </c>
      <c r="I42" s="72" t="s">
        <v>227</v>
      </c>
      <c r="J42" s="72" t="s">
        <v>229</v>
      </c>
      <c r="K42" s="72" t="s">
        <v>226</v>
      </c>
      <c r="L42" s="70">
        <v>7</v>
      </c>
      <c r="M42" s="72"/>
      <c r="N42" s="72"/>
      <c r="O42" s="72"/>
      <c r="P42" s="72"/>
      <c r="Q42" s="73"/>
      <c r="R42" s="74">
        <v>20</v>
      </c>
      <c r="S42" s="72" t="s">
        <v>119</v>
      </c>
      <c r="T42" s="74">
        <v>50295.614000000001</v>
      </c>
      <c r="AD42" s="89">
        <f t="shared" si="0"/>
        <v>100.28749148422018</v>
      </c>
      <c r="AE42" s="90"/>
    </row>
    <row r="43" spans="1:31" s="89" customFormat="1" ht="60" customHeight="1" x14ac:dyDescent="0.3">
      <c r="A43" s="70" t="s">
        <v>301</v>
      </c>
      <c r="B43" s="70" t="s">
        <v>376</v>
      </c>
      <c r="C43" s="74" t="s">
        <v>357</v>
      </c>
      <c r="D43" s="74" t="s">
        <v>374</v>
      </c>
      <c r="E43" s="72" t="s">
        <v>126</v>
      </c>
      <c r="F43" s="72">
        <v>2.5</v>
      </c>
      <c r="G43" s="72">
        <v>11.3</v>
      </c>
      <c r="H43" s="72" t="s">
        <v>214</v>
      </c>
      <c r="I43" s="72" t="s">
        <v>227</v>
      </c>
      <c r="J43" s="72" t="s">
        <v>229</v>
      </c>
      <c r="K43" s="72" t="s">
        <v>226</v>
      </c>
      <c r="L43" s="70">
        <v>2</v>
      </c>
      <c r="M43" s="72" t="s">
        <v>121</v>
      </c>
      <c r="N43" s="72" t="s">
        <v>121</v>
      </c>
      <c r="O43" s="72" t="s">
        <v>121</v>
      </c>
      <c r="P43" s="72" t="s">
        <v>121</v>
      </c>
      <c r="Q43" s="73"/>
      <c r="R43" s="74">
        <v>20</v>
      </c>
      <c r="S43" s="72" t="s">
        <v>119</v>
      </c>
      <c r="T43" s="74" t="s">
        <v>355</v>
      </c>
      <c r="AD43" s="89">
        <f t="shared" si="0"/>
        <v>100.28749148422018</v>
      </c>
      <c r="AE43" s="90"/>
    </row>
    <row r="44" spans="1:31" s="89" customFormat="1" ht="60" customHeight="1" x14ac:dyDescent="0.3">
      <c r="A44" s="70" t="s">
        <v>301</v>
      </c>
      <c r="B44" s="70" t="s">
        <v>375</v>
      </c>
      <c r="C44" s="74" t="s">
        <v>374</v>
      </c>
      <c r="D44" s="74" t="s">
        <v>372</v>
      </c>
      <c r="E44" s="72" t="s">
        <v>126</v>
      </c>
      <c r="F44" s="72">
        <v>2.5</v>
      </c>
      <c r="G44" s="72">
        <v>11.3</v>
      </c>
      <c r="H44" s="72" t="s">
        <v>214</v>
      </c>
      <c r="I44" s="72" t="s">
        <v>227</v>
      </c>
      <c r="J44" s="72" t="s">
        <v>229</v>
      </c>
      <c r="K44" s="72" t="s">
        <v>226</v>
      </c>
      <c r="L44" s="70">
        <v>7</v>
      </c>
      <c r="M44" s="72" t="s">
        <v>121</v>
      </c>
      <c r="N44" s="72" t="s">
        <v>121</v>
      </c>
      <c r="O44" s="72" t="s">
        <v>121</v>
      </c>
      <c r="P44" s="72" t="s">
        <v>121</v>
      </c>
      <c r="Q44" s="73"/>
      <c r="R44" s="74">
        <v>20</v>
      </c>
      <c r="S44" s="72" t="s">
        <v>119</v>
      </c>
      <c r="T44" s="74">
        <v>50295.614999999998</v>
      </c>
      <c r="AD44" s="89">
        <f t="shared" si="0"/>
        <v>100.28749148422018</v>
      </c>
      <c r="AE44" s="90"/>
    </row>
    <row r="45" spans="1:31" s="89" customFormat="1" ht="60" customHeight="1" x14ac:dyDescent="0.3">
      <c r="A45" s="70" t="s">
        <v>301</v>
      </c>
      <c r="B45" s="70" t="s">
        <v>373</v>
      </c>
      <c r="C45" s="74" t="s">
        <v>372</v>
      </c>
      <c r="D45" s="74" t="s">
        <v>371</v>
      </c>
      <c r="E45" s="72" t="s">
        <v>126</v>
      </c>
      <c r="F45" s="72">
        <v>2.5</v>
      </c>
      <c r="G45" s="72">
        <v>11.3</v>
      </c>
      <c r="H45" s="72" t="s">
        <v>214</v>
      </c>
      <c r="I45" s="72" t="s">
        <v>227</v>
      </c>
      <c r="J45" s="72" t="s">
        <v>229</v>
      </c>
      <c r="K45" s="72" t="s">
        <v>226</v>
      </c>
      <c r="L45" s="70">
        <v>2</v>
      </c>
      <c r="M45" s="72"/>
      <c r="N45" s="72"/>
      <c r="O45" s="72"/>
      <c r="P45" s="72"/>
      <c r="Q45" s="73"/>
      <c r="R45" s="74">
        <v>20</v>
      </c>
      <c r="S45" s="72" t="s">
        <v>119</v>
      </c>
      <c r="T45" s="74">
        <v>50295.614999999998</v>
      </c>
      <c r="AD45" s="89">
        <f t="shared" si="0"/>
        <v>100.28749148422018</v>
      </c>
      <c r="AE45" s="90"/>
    </row>
    <row r="46" spans="1:31" s="89" customFormat="1" ht="60" customHeight="1" x14ac:dyDescent="0.3">
      <c r="A46" s="70" t="s">
        <v>301</v>
      </c>
      <c r="B46" s="70" t="s">
        <v>370</v>
      </c>
      <c r="C46" s="74" t="s">
        <v>357</v>
      </c>
      <c r="D46" s="70" t="s">
        <v>369</v>
      </c>
      <c r="E46" s="72" t="s">
        <v>126</v>
      </c>
      <c r="F46" s="72">
        <v>2.5</v>
      </c>
      <c r="G46" s="72">
        <v>11.3</v>
      </c>
      <c r="H46" s="72" t="s">
        <v>214</v>
      </c>
      <c r="I46" s="72" t="s">
        <v>227</v>
      </c>
      <c r="J46" s="72" t="s">
        <v>229</v>
      </c>
      <c r="K46" s="72" t="s">
        <v>226</v>
      </c>
      <c r="L46" s="70">
        <v>8</v>
      </c>
      <c r="M46" s="72" t="s">
        <v>121</v>
      </c>
      <c r="N46" s="72" t="s">
        <v>121</v>
      </c>
      <c r="O46" s="72" t="s">
        <v>121</v>
      </c>
      <c r="P46" s="72" t="s">
        <v>121</v>
      </c>
      <c r="Q46" s="72"/>
      <c r="R46" s="74">
        <v>20</v>
      </c>
      <c r="S46" s="72" t="s">
        <v>119</v>
      </c>
      <c r="T46" s="74" t="s">
        <v>355</v>
      </c>
      <c r="AD46" s="89">
        <f t="shared" si="0"/>
        <v>100.28749148422018</v>
      </c>
    </row>
    <row r="47" spans="1:31" s="89" customFormat="1" ht="60" customHeight="1" x14ac:dyDescent="0.3">
      <c r="A47" s="70" t="s">
        <v>301</v>
      </c>
      <c r="B47" s="70" t="s">
        <v>368</v>
      </c>
      <c r="C47" s="74" t="s">
        <v>357</v>
      </c>
      <c r="D47" s="70" t="s">
        <v>366</v>
      </c>
      <c r="E47" s="72" t="s">
        <v>126</v>
      </c>
      <c r="F47" s="72">
        <v>2.5</v>
      </c>
      <c r="G47" s="72">
        <v>11.3</v>
      </c>
      <c r="H47" s="72" t="s">
        <v>214</v>
      </c>
      <c r="I47" s="72" t="s">
        <v>227</v>
      </c>
      <c r="J47" s="72" t="s">
        <v>229</v>
      </c>
      <c r="K47" s="72" t="s">
        <v>226</v>
      </c>
      <c r="L47" s="70">
        <v>7</v>
      </c>
      <c r="M47" s="72" t="s">
        <v>121</v>
      </c>
      <c r="N47" s="72" t="s">
        <v>121</v>
      </c>
      <c r="O47" s="72" t="s">
        <v>121</v>
      </c>
      <c r="P47" s="72" t="s">
        <v>121</v>
      </c>
      <c r="Q47" s="72"/>
      <c r="R47" s="74">
        <v>20</v>
      </c>
      <c r="S47" s="72" t="s">
        <v>119</v>
      </c>
      <c r="T47" s="74" t="s">
        <v>355</v>
      </c>
      <c r="AD47" s="89">
        <f t="shared" si="0"/>
        <v>100.28749148422018</v>
      </c>
    </row>
    <row r="48" spans="1:31" s="89" customFormat="1" ht="60" customHeight="1" x14ac:dyDescent="0.3">
      <c r="A48" s="70" t="s">
        <v>301</v>
      </c>
      <c r="B48" s="70" t="s">
        <v>367</v>
      </c>
      <c r="C48" s="70" t="s">
        <v>366</v>
      </c>
      <c r="D48" s="70" t="s">
        <v>364</v>
      </c>
      <c r="E48" s="72" t="s">
        <v>126</v>
      </c>
      <c r="F48" s="72">
        <v>2.5</v>
      </c>
      <c r="G48" s="72">
        <v>11.3</v>
      </c>
      <c r="H48" s="72" t="s">
        <v>214</v>
      </c>
      <c r="I48" s="72" t="s">
        <v>227</v>
      </c>
      <c r="J48" s="72" t="s">
        <v>229</v>
      </c>
      <c r="K48" s="72" t="s">
        <v>226</v>
      </c>
      <c r="L48" s="70">
        <v>3</v>
      </c>
      <c r="M48" s="72"/>
      <c r="N48" s="72"/>
      <c r="O48" s="72"/>
      <c r="P48" s="72"/>
      <c r="Q48" s="72"/>
      <c r="R48" s="74">
        <v>20</v>
      </c>
      <c r="S48" s="72" t="s">
        <v>119</v>
      </c>
      <c r="T48" s="74">
        <v>50295.614999999998</v>
      </c>
      <c r="AD48" s="89">
        <f t="shared" si="0"/>
        <v>100.28749148422018</v>
      </c>
    </row>
    <row r="49" spans="1:31" s="89" customFormat="1" ht="60" customHeight="1" x14ac:dyDescent="0.3">
      <c r="A49" s="70" t="s">
        <v>301</v>
      </c>
      <c r="B49" s="70" t="s">
        <v>365</v>
      </c>
      <c r="C49" s="70" t="s">
        <v>364</v>
      </c>
      <c r="D49" s="70" t="s">
        <v>363</v>
      </c>
      <c r="E49" s="72" t="s">
        <v>126</v>
      </c>
      <c r="F49" s="72">
        <v>2.5</v>
      </c>
      <c r="G49" s="72">
        <v>11.3</v>
      </c>
      <c r="H49" s="72" t="s">
        <v>214</v>
      </c>
      <c r="I49" s="72" t="s">
        <v>227</v>
      </c>
      <c r="J49" s="72" t="s">
        <v>229</v>
      </c>
      <c r="K49" s="72" t="s">
        <v>226</v>
      </c>
      <c r="L49" s="70">
        <v>2</v>
      </c>
      <c r="M49" s="72"/>
      <c r="N49" s="72"/>
      <c r="O49" s="72"/>
      <c r="P49" s="72"/>
      <c r="Q49" s="72"/>
      <c r="R49" s="74">
        <v>20</v>
      </c>
      <c r="S49" s="72" t="s">
        <v>119</v>
      </c>
      <c r="T49" s="74">
        <v>50295.614999999998</v>
      </c>
      <c r="AD49" s="89">
        <f t="shared" si="0"/>
        <v>100.28749148422018</v>
      </c>
    </row>
    <row r="50" spans="1:31" s="89" customFormat="1" ht="60" customHeight="1" x14ac:dyDescent="0.3">
      <c r="A50" s="70" t="s">
        <v>301</v>
      </c>
      <c r="B50" s="70" t="s">
        <v>362</v>
      </c>
      <c r="C50" s="74" t="s">
        <v>357</v>
      </c>
      <c r="D50" s="74" t="s">
        <v>360</v>
      </c>
      <c r="E50" s="72" t="s">
        <v>126</v>
      </c>
      <c r="F50" s="72">
        <v>2.5</v>
      </c>
      <c r="G50" s="72">
        <v>11.3</v>
      </c>
      <c r="H50" s="72" t="s">
        <v>214</v>
      </c>
      <c r="I50" s="72" t="s">
        <v>227</v>
      </c>
      <c r="J50" s="72" t="s">
        <v>229</v>
      </c>
      <c r="K50" s="72" t="s">
        <v>226</v>
      </c>
      <c r="L50" s="70">
        <v>10</v>
      </c>
      <c r="M50" s="72" t="s">
        <v>121</v>
      </c>
      <c r="N50" s="72" t="s">
        <v>121</v>
      </c>
      <c r="O50" s="72" t="s">
        <v>121</v>
      </c>
      <c r="P50" s="72" t="s">
        <v>121</v>
      </c>
      <c r="Q50" s="72"/>
      <c r="R50" s="74">
        <v>20</v>
      </c>
      <c r="S50" s="72" t="s">
        <v>119</v>
      </c>
      <c r="T50" s="74" t="s">
        <v>355</v>
      </c>
      <c r="AD50" s="89">
        <f t="shared" si="0"/>
        <v>100.28749148422018</v>
      </c>
      <c r="AE50" s="90"/>
    </row>
    <row r="51" spans="1:31" s="89" customFormat="1" ht="60" customHeight="1" x14ac:dyDescent="0.3">
      <c r="A51" s="70" t="s">
        <v>301</v>
      </c>
      <c r="B51" s="70" t="s">
        <v>361</v>
      </c>
      <c r="C51" s="74" t="s">
        <v>360</v>
      </c>
      <c r="D51" s="74" t="s">
        <v>359</v>
      </c>
      <c r="E51" s="72" t="s">
        <v>126</v>
      </c>
      <c r="F51" s="72">
        <v>2.5</v>
      </c>
      <c r="G51" s="72">
        <v>11.3</v>
      </c>
      <c r="H51" s="72" t="s">
        <v>214</v>
      </c>
      <c r="I51" s="72" t="s">
        <v>227</v>
      </c>
      <c r="J51" s="72" t="s">
        <v>229</v>
      </c>
      <c r="K51" s="72" t="s">
        <v>226</v>
      </c>
      <c r="L51" s="70">
        <v>2</v>
      </c>
      <c r="M51" s="72" t="s">
        <v>121</v>
      </c>
      <c r="N51" s="72" t="s">
        <v>121</v>
      </c>
      <c r="O51" s="72" t="s">
        <v>121</v>
      </c>
      <c r="P51" s="72" t="s">
        <v>121</v>
      </c>
      <c r="Q51" s="72"/>
      <c r="R51" s="74">
        <v>20</v>
      </c>
      <c r="S51" s="72" t="s">
        <v>119</v>
      </c>
      <c r="T51" s="74">
        <v>50295.614999999998</v>
      </c>
      <c r="AD51" s="89">
        <f t="shared" si="0"/>
        <v>100.28749148422018</v>
      </c>
      <c r="AE51" s="90"/>
    </row>
    <row r="52" spans="1:31" s="89" customFormat="1" ht="60" customHeight="1" x14ac:dyDescent="0.3">
      <c r="A52" s="70" t="s">
        <v>301</v>
      </c>
      <c r="B52" s="70" t="s">
        <v>358</v>
      </c>
      <c r="C52" s="74" t="s">
        <v>357</v>
      </c>
      <c r="D52" s="70" t="s">
        <v>356</v>
      </c>
      <c r="E52" s="72" t="s">
        <v>126</v>
      </c>
      <c r="F52" s="72">
        <v>2.5</v>
      </c>
      <c r="G52" s="72">
        <v>11.3</v>
      </c>
      <c r="H52" s="72" t="s">
        <v>214</v>
      </c>
      <c r="I52" s="72" t="s">
        <v>227</v>
      </c>
      <c r="J52" s="72" t="s">
        <v>229</v>
      </c>
      <c r="K52" s="72" t="s">
        <v>226</v>
      </c>
      <c r="L52" s="70">
        <v>8</v>
      </c>
      <c r="M52" s="72" t="s">
        <v>121</v>
      </c>
      <c r="N52" s="72" t="s">
        <v>121</v>
      </c>
      <c r="O52" s="72" t="s">
        <v>121</v>
      </c>
      <c r="P52" s="72" t="s">
        <v>121</v>
      </c>
      <c r="Q52" s="72"/>
      <c r="R52" s="74">
        <v>20</v>
      </c>
      <c r="S52" s="72" t="s">
        <v>119</v>
      </c>
      <c r="T52" s="74" t="s">
        <v>355</v>
      </c>
      <c r="AD52" s="89">
        <f t="shared" si="0"/>
        <v>100.28749148422018</v>
      </c>
    </row>
    <row r="53" spans="1:31" s="89" customFormat="1" ht="60" customHeight="1" x14ac:dyDescent="0.3">
      <c r="A53" s="70" t="s">
        <v>301</v>
      </c>
      <c r="B53" s="70" t="s">
        <v>354</v>
      </c>
      <c r="C53" s="74" t="s">
        <v>344</v>
      </c>
      <c r="D53" s="74" t="s">
        <v>352</v>
      </c>
      <c r="E53" s="72" t="s">
        <v>126</v>
      </c>
      <c r="F53" s="72">
        <v>1.5</v>
      </c>
      <c r="G53" s="72">
        <v>11.9</v>
      </c>
      <c r="H53" s="72" t="s">
        <v>196</v>
      </c>
      <c r="I53" s="72" t="s">
        <v>195</v>
      </c>
      <c r="J53" s="73" t="s">
        <v>194</v>
      </c>
      <c r="K53" s="72" t="s">
        <v>154</v>
      </c>
      <c r="L53" s="70">
        <v>75</v>
      </c>
      <c r="M53" s="72" t="s">
        <v>323</v>
      </c>
      <c r="N53" s="72" t="s">
        <v>323</v>
      </c>
      <c r="O53" s="72" t="s">
        <v>121</v>
      </c>
      <c r="P53" s="72" t="s">
        <v>121</v>
      </c>
      <c r="Q53" s="73"/>
      <c r="R53" s="74">
        <v>20</v>
      </c>
      <c r="S53" s="72" t="s">
        <v>119</v>
      </c>
      <c r="T53" s="78">
        <v>50295.62</v>
      </c>
      <c r="AD53" s="89">
        <f t="shared" si="0"/>
        <v>111.22023391871267</v>
      </c>
    </row>
    <row r="54" spans="1:31" s="89" customFormat="1" ht="60" customHeight="1" x14ac:dyDescent="0.3">
      <c r="A54" s="70" t="s">
        <v>301</v>
      </c>
      <c r="B54" s="70" t="s">
        <v>353</v>
      </c>
      <c r="C54" s="74" t="s">
        <v>352</v>
      </c>
      <c r="D54" s="74" t="s">
        <v>351</v>
      </c>
      <c r="E54" s="72" t="s">
        <v>126</v>
      </c>
      <c r="F54" s="72" t="s">
        <v>157</v>
      </c>
      <c r="G54" s="72" t="s">
        <v>157</v>
      </c>
      <c r="H54" s="72" t="s">
        <v>125</v>
      </c>
      <c r="I54" s="72" t="s">
        <v>195</v>
      </c>
      <c r="J54" s="73" t="s">
        <v>155</v>
      </c>
      <c r="K54" s="72" t="s">
        <v>154</v>
      </c>
      <c r="L54" s="70" t="s">
        <v>157</v>
      </c>
      <c r="M54" s="72"/>
      <c r="N54" s="72"/>
      <c r="O54" s="72"/>
      <c r="P54" s="72"/>
      <c r="Q54" s="73"/>
      <c r="R54" s="73"/>
      <c r="S54" s="72"/>
      <c r="T54" s="78" t="s">
        <v>346</v>
      </c>
      <c r="AD54" s="89" t="e">
        <f t="shared" si="0"/>
        <v>#VALUE!</v>
      </c>
    </row>
    <row r="55" spans="1:31" s="89" customFormat="1" ht="60" customHeight="1" x14ac:dyDescent="0.3">
      <c r="A55" s="70" t="s">
        <v>301</v>
      </c>
      <c r="B55" s="70" t="s">
        <v>350</v>
      </c>
      <c r="C55" s="74" t="s">
        <v>344</v>
      </c>
      <c r="D55" s="74" t="s">
        <v>348</v>
      </c>
      <c r="E55" s="72" t="s">
        <v>126</v>
      </c>
      <c r="F55" s="72">
        <v>1.5</v>
      </c>
      <c r="G55" s="72">
        <v>11.9</v>
      </c>
      <c r="H55" s="72" t="s">
        <v>196</v>
      </c>
      <c r="I55" s="72" t="s">
        <v>195</v>
      </c>
      <c r="J55" s="73" t="s">
        <v>194</v>
      </c>
      <c r="K55" s="72" t="s">
        <v>154</v>
      </c>
      <c r="L55" s="70">
        <v>70</v>
      </c>
      <c r="M55" s="70" t="s">
        <v>323</v>
      </c>
      <c r="N55" s="70" t="s">
        <v>323</v>
      </c>
      <c r="O55" s="70" t="s">
        <v>121</v>
      </c>
      <c r="P55" s="72" t="s">
        <v>121</v>
      </c>
      <c r="Q55" s="73"/>
      <c r="R55" s="74">
        <v>20</v>
      </c>
      <c r="S55" s="72" t="s">
        <v>119</v>
      </c>
      <c r="T55" s="78">
        <v>50295.62</v>
      </c>
      <c r="AD55" s="89">
        <f t="shared" si="0"/>
        <v>111.22023391871267</v>
      </c>
    </row>
    <row r="56" spans="1:31" s="89" customFormat="1" ht="60" customHeight="1" x14ac:dyDescent="0.3">
      <c r="A56" s="70" t="s">
        <v>301</v>
      </c>
      <c r="B56" s="70" t="s">
        <v>349</v>
      </c>
      <c r="C56" s="74" t="s">
        <v>348</v>
      </c>
      <c r="D56" s="74" t="s">
        <v>347</v>
      </c>
      <c r="E56" s="72" t="s">
        <v>126</v>
      </c>
      <c r="F56" s="72" t="s">
        <v>157</v>
      </c>
      <c r="G56" s="72" t="s">
        <v>157</v>
      </c>
      <c r="H56" s="72" t="s">
        <v>125</v>
      </c>
      <c r="I56" s="72" t="s">
        <v>195</v>
      </c>
      <c r="J56" s="73" t="s">
        <v>155</v>
      </c>
      <c r="K56" s="72" t="s">
        <v>154</v>
      </c>
      <c r="L56" s="70" t="s">
        <v>157</v>
      </c>
      <c r="M56" s="70"/>
      <c r="N56" s="70"/>
      <c r="O56" s="70"/>
      <c r="P56" s="72"/>
      <c r="Q56" s="73"/>
      <c r="R56" s="73"/>
      <c r="S56" s="72"/>
      <c r="T56" s="79" t="s">
        <v>346</v>
      </c>
      <c r="AD56" s="89" t="e">
        <f t="shared" si="0"/>
        <v>#VALUE!</v>
      </c>
    </row>
    <row r="57" spans="1:31" s="89" customFormat="1" ht="60" customHeight="1" x14ac:dyDescent="0.3">
      <c r="A57" s="70" t="s">
        <v>301</v>
      </c>
      <c r="B57" s="70" t="s">
        <v>345</v>
      </c>
      <c r="C57" s="74" t="s">
        <v>344</v>
      </c>
      <c r="D57" s="74" t="s">
        <v>341</v>
      </c>
      <c r="E57" s="72" t="s">
        <v>126</v>
      </c>
      <c r="F57" s="72">
        <v>1.5</v>
      </c>
      <c r="G57" s="72">
        <v>16.100000000000001</v>
      </c>
      <c r="H57" s="72" t="s">
        <v>339</v>
      </c>
      <c r="I57" s="72" t="s">
        <v>195</v>
      </c>
      <c r="J57" s="73" t="s">
        <v>194</v>
      </c>
      <c r="K57" s="72" t="s">
        <v>154</v>
      </c>
      <c r="L57" s="70">
        <v>55</v>
      </c>
      <c r="M57" s="72" t="s">
        <v>323</v>
      </c>
      <c r="N57" s="72" t="s">
        <v>323</v>
      </c>
      <c r="O57" s="72" t="s">
        <v>121</v>
      </c>
      <c r="P57" s="72" t="s">
        <v>121</v>
      </c>
      <c r="Q57" s="73"/>
      <c r="R57" s="73">
        <v>25</v>
      </c>
      <c r="S57" s="72" t="s">
        <v>119</v>
      </c>
      <c r="T57" s="79" t="s">
        <v>343</v>
      </c>
      <c r="AD57" s="89">
        <f t="shared" si="0"/>
        <v>203.58305793425259</v>
      </c>
    </row>
    <row r="58" spans="1:31" s="89" customFormat="1" ht="60" customHeight="1" x14ac:dyDescent="0.3">
      <c r="A58" s="70" t="s">
        <v>301</v>
      </c>
      <c r="B58" s="70" t="s">
        <v>342</v>
      </c>
      <c r="C58" s="74" t="s">
        <v>341</v>
      </c>
      <c r="D58" s="74" t="s">
        <v>340</v>
      </c>
      <c r="E58" s="72" t="s">
        <v>126</v>
      </c>
      <c r="F58" s="72">
        <v>1.5</v>
      </c>
      <c r="G58" s="72">
        <v>16.100000000000001</v>
      </c>
      <c r="H58" s="72" t="s">
        <v>339</v>
      </c>
      <c r="I58" s="72" t="s">
        <v>195</v>
      </c>
      <c r="J58" s="73" t="s">
        <v>194</v>
      </c>
      <c r="K58" s="72" t="s">
        <v>154</v>
      </c>
      <c r="L58" s="70">
        <v>2</v>
      </c>
      <c r="M58" s="72" t="s">
        <v>323</v>
      </c>
      <c r="N58" s="72" t="s">
        <v>323</v>
      </c>
      <c r="O58" s="72" t="s">
        <v>121</v>
      </c>
      <c r="P58" s="72" t="s">
        <v>121</v>
      </c>
      <c r="Q58" s="73"/>
      <c r="R58" s="73">
        <v>25</v>
      </c>
      <c r="S58" s="72" t="s">
        <v>119</v>
      </c>
      <c r="T58" s="79">
        <v>50295.565000000002</v>
      </c>
      <c r="AD58" s="89">
        <f t="shared" si="0"/>
        <v>203.58305793425259</v>
      </c>
    </row>
    <row r="59" spans="1:31" s="89" customFormat="1" ht="60" customHeight="1" x14ac:dyDescent="0.3">
      <c r="A59" s="70" t="s">
        <v>338</v>
      </c>
      <c r="B59" s="70" t="s">
        <v>337</v>
      </c>
      <c r="C59" s="74" t="s">
        <v>333</v>
      </c>
      <c r="D59" s="74" t="s">
        <v>336</v>
      </c>
      <c r="E59" s="70" t="s">
        <v>126</v>
      </c>
      <c r="F59" s="70">
        <v>1.5</v>
      </c>
      <c r="G59" s="70">
        <v>10.1</v>
      </c>
      <c r="H59" s="70" t="s">
        <v>214</v>
      </c>
      <c r="I59" s="70" t="s">
        <v>195</v>
      </c>
      <c r="J59" s="74" t="s">
        <v>194</v>
      </c>
      <c r="K59" s="72" t="s">
        <v>154</v>
      </c>
      <c r="L59" s="70">
        <v>30</v>
      </c>
      <c r="M59" s="72" t="s">
        <v>121</v>
      </c>
      <c r="N59" s="72" t="s">
        <v>121</v>
      </c>
      <c r="O59" s="72" t="s">
        <v>121</v>
      </c>
      <c r="P59" s="72" t="s">
        <v>121</v>
      </c>
      <c r="Q59" s="73" t="s">
        <v>335</v>
      </c>
      <c r="R59" s="74">
        <v>20</v>
      </c>
      <c r="S59" s="72" t="s">
        <v>119</v>
      </c>
      <c r="T59" s="78">
        <v>50295.641000000003</v>
      </c>
      <c r="AD59" s="89">
        <f>IF(PI()*(G59/2)^2=0,"",PI()*(G59/2)^2)</f>
        <v>80.118466648173694</v>
      </c>
    </row>
    <row r="60" spans="1:31" s="89" customFormat="1" ht="60" customHeight="1" x14ac:dyDescent="0.3">
      <c r="A60" s="70" t="s">
        <v>301</v>
      </c>
      <c r="B60" s="70" t="s">
        <v>334</v>
      </c>
      <c r="C60" s="74" t="s">
        <v>333</v>
      </c>
      <c r="D60" s="74" t="s">
        <v>332</v>
      </c>
      <c r="E60" s="70" t="s">
        <v>126</v>
      </c>
      <c r="F60" s="70">
        <v>1.5</v>
      </c>
      <c r="G60" s="70">
        <v>10.4</v>
      </c>
      <c r="H60" s="70" t="s">
        <v>163</v>
      </c>
      <c r="I60" s="70" t="s">
        <v>156</v>
      </c>
      <c r="J60" s="74" t="s">
        <v>331</v>
      </c>
      <c r="K60" s="72" t="s">
        <v>154</v>
      </c>
      <c r="L60" s="70">
        <v>60</v>
      </c>
      <c r="M60" s="72" t="s">
        <v>121</v>
      </c>
      <c r="N60" s="72" t="s">
        <v>121</v>
      </c>
      <c r="O60" s="72" t="s">
        <v>323</v>
      </c>
      <c r="P60" s="72" t="s">
        <v>121</v>
      </c>
      <c r="Q60" s="73"/>
      <c r="R60" s="74">
        <v>20</v>
      </c>
      <c r="S60" s="72" t="s">
        <v>119</v>
      </c>
      <c r="T60" s="78">
        <v>50295.644</v>
      </c>
      <c r="AD60" s="89">
        <f t="shared" ref="AD60" si="2">IF(PI()*(G60/2)^2=0,"",PI()*(G60/2)^2)</f>
        <v>84.948665353068009</v>
      </c>
    </row>
    <row r="61" spans="1:31" s="89" customFormat="1" ht="60" customHeight="1" x14ac:dyDescent="0.3">
      <c r="A61" s="70" t="s">
        <v>301</v>
      </c>
      <c r="B61" s="70" t="s">
        <v>330</v>
      </c>
      <c r="C61" s="74" t="s">
        <v>326</v>
      </c>
      <c r="D61" s="74" t="s">
        <v>329</v>
      </c>
      <c r="E61" s="70" t="s">
        <v>126</v>
      </c>
      <c r="F61" s="70">
        <v>1.5</v>
      </c>
      <c r="G61" s="70">
        <v>18.5</v>
      </c>
      <c r="H61" s="70" t="s">
        <v>328</v>
      </c>
      <c r="I61" s="70" t="s">
        <v>195</v>
      </c>
      <c r="J61" s="74" t="s">
        <v>194</v>
      </c>
      <c r="K61" s="70" t="s">
        <v>154</v>
      </c>
      <c r="L61" s="70">
        <v>6</v>
      </c>
      <c r="M61" s="70" t="s">
        <v>121</v>
      </c>
      <c r="N61" s="70" t="s">
        <v>121</v>
      </c>
      <c r="O61" s="70" t="s">
        <v>121</v>
      </c>
      <c r="P61" s="70" t="s">
        <v>121</v>
      </c>
      <c r="Q61" s="74"/>
      <c r="R61" s="70">
        <v>32</v>
      </c>
      <c r="S61" s="70" t="s">
        <v>119</v>
      </c>
      <c r="T61" s="70">
        <v>50295.588000000003</v>
      </c>
      <c r="AE61" s="89">
        <f t="shared" ref="AE61:AE62" si="3">IF(PI()*(G61/2)^2=0,"",PI()*(G61/2)^2)</f>
        <v>268.80252142277669</v>
      </c>
    </row>
    <row r="62" spans="1:31" s="89" customFormat="1" ht="60" customHeight="1" x14ac:dyDescent="0.3">
      <c r="A62" s="70" t="s">
        <v>301</v>
      </c>
      <c r="B62" s="70" t="s">
        <v>327</v>
      </c>
      <c r="C62" s="74" t="s">
        <v>326</v>
      </c>
      <c r="D62" s="74" t="s">
        <v>325</v>
      </c>
      <c r="E62" s="70" t="s">
        <v>126</v>
      </c>
      <c r="F62" s="70">
        <v>1.5</v>
      </c>
      <c r="G62" s="70">
        <v>13.1</v>
      </c>
      <c r="H62" s="70" t="s">
        <v>324</v>
      </c>
      <c r="I62" s="70" t="s">
        <v>195</v>
      </c>
      <c r="J62" s="74" t="s">
        <v>194</v>
      </c>
      <c r="K62" s="70" t="s">
        <v>154</v>
      </c>
      <c r="L62" s="70">
        <v>72</v>
      </c>
      <c r="M62" s="70" t="s">
        <v>323</v>
      </c>
      <c r="N62" s="70" t="s">
        <v>121</v>
      </c>
      <c r="O62" s="70" t="s">
        <v>121</v>
      </c>
      <c r="P62" s="70" t="s">
        <v>121</v>
      </c>
      <c r="Q62" s="74"/>
      <c r="R62" s="70">
        <v>20</v>
      </c>
      <c r="S62" s="70" t="s">
        <v>119</v>
      </c>
      <c r="T62" s="70">
        <v>50295.588000000003</v>
      </c>
      <c r="AE62" s="89">
        <f t="shared" si="3"/>
        <v>134.78217882063609</v>
      </c>
    </row>
    <row r="63" spans="1:31" ht="60" customHeight="1" x14ac:dyDescent="0.3">
      <c r="A63" s="70" t="s">
        <v>311</v>
      </c>
      <c r="B63" s="70" t="s">
        <v>322</v>
      </c>
      <c r="C63" s="74" t="s">
        <v>319</v>
      </c>
      <c r="D63" s="74" t="s">
        <v>321</v>
      </c>
      <c r="E63" s="70" t="s">
        <v>126</v>
      </c>
      <c r="F63" s="70">
        <v>2.5</v>
      </c>
      <c r="G63" s="70">
        <v>11.3</v>
      </c>
      <c r="H63" s="70" t="s">
        <v>214</v>
      </c>
      <c r="I63" s="70" t="s">
        <v>227</v>
      </c>
      <c r="J63" s="70" t="s">
        <v>229</v>
      </c>
      <c r="K63" s="70" t="s">
        <v>313</v>
      </c>
      <c r="L63" s="70">
        <v>15</v>
      </c>
      <c r="M63" s="70" t="s">
        <v>121</v>
      </c>
      <c r="N63" s="70" t="s">
        <v>121</v>
      </c>
      <c r="O63" s="70" t="s">
        <v>121</v>
      </c>
      <c r="P63" s="70" t="s">
        <v>121</v>
      </c>
      <c r="Q63" s="74"/>
      <c r="R63" s="70">
        <v>20</v>
      </c>
      <c r="S63" s="70" t="s">
        <v>119</v>
      </c>
      <c r="T63" s="70">
        <v>78898.506999999998</v>
      </c>
    </row>
    <row r="64" spans="1:31" s="89" customFormat="1" ht="60" customHeight="1" x14ac:dyDescent="0.3">
      <c r="A64" s="70" t="s">
        <v>311</v>
      </c>
      <c r="B64" s="70" t="s">
        <v>320</v>
      </c>
      <c r="C64" s="74" t="s">
        <v>319</v>
      </c>
      <c r="D64" s="74" t="s">
        <v>315</v>
      </c>
      <c r="E64" s="70" t="s">
        <v>126</v>
      </c>
      <c r="F64" s="70">
        <v>2.5</v>
      </c>
      <c r="G64" s="70">
        <v>11.3</v>
      </c>
      <c r="H64" s="70" t="s">
        <v>214</v>
      </c>
      <c r="I64" s="70" t="s">
        <v>227</v>
      </c>
      <c r="J64" s="70" t="s">
        <v>229</v>
      </c>
      <c r="K64" s="70" t="s">
        <v>313</v>
      </c>
      <c r="L64" s="70">
        <v>55</v>
      </c>
      <c r="M64" s="70" t="s">
        <v>121</v>
      </c>
      <c r="N64" s="70" t="s">
        <v>121</v>
      </c>
      <c r="O64" s="70" t="s">
        <v>121</v>
      </c>
      <c r="P64" s="70" t="s">
        <v>121</v>
      </c>
      <c r="Q64" s="70" t="s">
        <v>318</v>
      </c>
      <c r="R64" s="70">
        <v>20</v>
      </c>
      <c r="S64" s="70" t="s">
        <v>119</v>
      </c>
      <c r="T64" s="74" t="s">
        <v>317</v>
      </c>
      <c r="AE64" s="89" t="e">
        <f>IF(PI()*(#REF!/2)^2=0,"",PI()*(#REF!/2)^2)</f>
        <v>#REF!</v>
      </c>
    </row>
    <row r="65" spans="1:34" s="89" customFormat="1" ht="60" customHeight="1" x14ac:dyDescent="0.3">
      <c r="A65" s="70" t="s">
        <v>311</v>
      </c>
      <c r="B65" s="70" t="s">
        <v>316</v>
      </c>
      <c r="C65" s="74" t="s">
        <v>315</v>
      </c>
      <c r="D65" s="74" t="s">
        <v>314</v>
      </c>
      <c r="E65" s="70" t="s">
        <v>126</v>
      </c>
      <c r="F65" s="70">
        <v>2.5</v>
      </c>
      <c r="G65" s="70">
        <v>11.3</v>
      </c>
      <c r="H65" s="70" t="s">
        <v>214</v>
      </c>
      <c r="I65" s="70" t="s">
        <v>227</v>
      </c>
      <c r="J65" s="70" t="s">
        <v>229</v>
      </c>
      <c r="K65" s="70" t="s">
        <v>313</v>
      </c>
      <c r="L65" s="70">
        <v>2</v>
      </c>
      <c r="M65" s="70" t="s">
        <v>121</v>
      </c>
      <c r="N65" s="70" t="s">
        <v>121</v>
      </c>
      <c r="O65" s="70" t="s">
        <v>121</v>
      </c>
      <c r="P65" s="70" t="s">
        <v>121</v>
      </c>
      <c r="Q65" s="70"/>
      <c r="R65" s="70">
        <v>20</v>
      </c>
      <c r="S65" s="70" t="s">
        <v>119</v>
      </c>
      <c r="T65" s="74" t="s">
        <v>312</v>
      </c>
      <c r="AE65" s="89" t="e">
        <f>IF(PI()*(#REF!/2)^2=0,"",PI()*(#REF!/2)^2)</f>
        <v>#REF!</v>
      </c>
    </row>
    <row r="66" spans="1:34" s="89" customFormat="1" ht="60" customHeight="1" x14ac:dyDescent="0.3">
      <c r="A66" s="70" t="s">
        <v>311</v>
      </c>
      <c r="B66" s="80" t="s">
        <v>310</v>
      </c>
      <c r="C66" s="74" t="s">
        <v>224</v>
      </c>
      <c r="D66" s="74" t="s">
        <v>309</v>
      </c>
      <c r="E66" s="75" t="s">
        <v>126</v>
      </c>
      <c r="F66" s="72">
        <v>1.5</v>
      </c>
      <c r="G66" s="72">
        <v>16.100000000000001</v>
      </c>
      <c r="H66" s="72" t="s">
        <v>223</v>
      </c>
      <c r="I66" s="72" t="s">
        <v>195</v>
      </c>
      <c r="J66" s="81" t="s">
        <v>194</v>
      </c>
      <c r="K66" s="75" t="s">
        <v>154</v>
      </c>
      <c r="L66" s="80">
        <v>55</v>
      </c>
      <c r="M66" s="75" t="s">
        <v>121</v>
      </c>
      <c r="N66" s="75" t="s">
        <v>121</v>
      </c>
      <c r="O66" s="75" t="s">
        <v>121</v>
      </c>
      <c r="P66" s="75" t="s">
        <v>121</v>
      </c>
      <c r="Q66" s="82"/>
      <c r="R66" s="83"/>
      <c r="S66" s="83"/>
      <c r="T66" s="75">
        <v>50295.593999999997</v>
      </c>
      <c r="AE66" s="89">
        <f t="shared" ref="AE66" si="4">IF(PI()*(G66/2)^2=0,"",PI()*(G66/2)^2)</f>
        <v>203.58305793425259</v>
      </c>
      <c r="AG66" s="91"/>
      <c r="AH66" s="91"/>
    </row>
    <row r="67" spans="1:34" s="89" customFormat="1" ht="60" customHeight="1" x14ac:dyDescent="0.3">
      <c r="A67" s="70" t="s">
        <v>130</v>
      </c>
      <c r="B67" s="70" t="s">
        <v>308</v>
      </c>
      <c r="C67" s="74" t="s">
        <v>198</v>
      </c>
      <c r="D67" s="74" t="s">
        <v>307</v>
      </c>
      <c r="E67" s="70" t="s">
        <v>126</v>
      </c>
      <c r="F67" s="70">
        <v>1.5</v>
      </c>
      <c r="G67" s="70">
        <v>10.1</v>
      </c>
      <c r="H67" s="70" t="s">
        <v>214</v>
      </c>
      <c r="I67" s="70" t="s">
        <v>195</v>
      </c>
      <c r="J67" s="74" t="s">
        <v>194</v>
      </c>
      <c r="K67" s="70" t="s">
        <v>154</v>
      </c>
      <c r="L67" s="70">
        <v>60</v>
      </c>
      <c r="M67" s="72"/>
      <c r="N67" s="72"/>
      <c r="O67" s="72"/>
      <c r="P67" s="72"/>
      <c r="Q67" s="74" t="s">
        <v>306</v>
      </c>
      <c r="R67" s="75">
        <v>20</v>
      </c>
      <c r="S67" s="75" t="s">
        <v>119</v>
      </c>
      <c r="T67" s="81" t="s">
        <v>305</v>
      </c>
    </row>
    <row r="68" spans="1:34" ht="60" customHeight="1" x14ac:dyDescent="0.3">
      <c r="A68" s="70" t="s">
        <v>301</v>
      </c>
      <c r="B68" s="70" t="s">
        <v>304</v>
      </c>
      <c r="C68" s="74" t="s">
        <v>303</v>
      </c>
      <c r="D68" s="74" t="s">
        <v>299</v>
      </c>
      <c r="E68" s="72" t="s">
        <v>126</v>
      </c>
      <c r="F68" s="72">
        <v>2.5</v>
      </c>
      <c r="G68" s="72">
        <v>11.3</v>
      </c>
      <c r="H68" s="72" t="s">
        <v>214</v>
      </c>
      <c r="I68" s="72" t="s">
        <v>227</v>
      </c>
      <c r="J68" s="72" t="s">
        <v>229</v>
      </c>
      <c r="K68" s="72" t="s">
        <v>226</v>
      </c>
      <c r="L68" s="70">
        <v>6</v>
      </c>
      <c r="M68" s="72" t="s">
        <v>121</v>
      </c>
      <c r="N68" s="72" t="s">
        <v>121</v>
      </c>
      <c r="O68" s="72" t="s">
        <v>121</v>
      </c>
      <c r="P68" s="72" t="s">
        <v>121</v>
      </c>
      <c r="Q68" s="74" t="s">
        <v>302</v>
      </c>
      <c r="R68" s="75">
        <v>20</v>
      </c>
      <c r="S68" s="75" t="s">
        <v>119</v>
      </c>
      <c r="T68" s="72">
        <v>50295.616000000002</v>
      </c>
    </row>
    <row r="69" spans="1:34" ht="60" customHeight="1" x14ac:dyDescent="0.3">
      <c r="A69" s="70" t="s">
        <v>301</v>
      </c>
      <c r="B69" s="70" t="s">
        <v>300</v>
      </c>
      <c r="C69" s="74" t="s">
        <v>299</v>
      </c>
      <c r="D69" s="74" t="s">
        <v>298</v>
      </c>
      <c r="E69" s="72" t="s">
        <v>126</v>
      </c>
      <c r="F69" s="72">
        <v>2.5</v>
      </c>
      <c r="G69" s="72">
        <v>11.3</v>
      </c>
      <c r="H69" s="72" t="s">
        <v>214</v>
      </c>
      <c r="I69" s="72" t="s">
        <v>227</v>
      </c>
      <c r="J69" s="72" t="s">
        <v>229</v>
      </c>
      <c r="K69" s="72" t="s">
        <v>226</v>
      </c>
      <c r="L69" s="70">
        <v>2</v>
      </c>
      <c r="M69" s="72" t="s">
        <v>121</v>
      </c>
      <c r="N69" s="72" t="s">
        <v>121</v>
      </c>
      <c r="O69" s="72" t="s">
        <v>121</v>
      </c>
      <c r="P69" s="72" t="s">
        <v>121</v>
      </c>
      <c r="Q69" s="70"/>
      <c r="R69" s="70">
        <v>20</v>
      </c>
      <c r="S69" s="70" t="s">
        <v>119</v>
      </c>
      <c r="T69" s="72">
        <v>50295.616000000002</v>
      </c>
    </row>
    <row r="70" spans="1:34" s="89" customFormat="1" ht="60" customHeight="1" x14ac:dyDescent="0.3">
      <c r="A70" s="70" t="s">
        <v>130</v>
      </c>
      <c r="B70" s="70" t="s">
        <v>297</v>
      </c>
      <c r="C70" s="74" t="s">
        <v>224</v>
      </c>
      <c r="D70" s="74" t="s">
        <v>292</v>
      </c>
      <c r="E70" s="72" t="s">
        <v>126</v>
      </c>
      <c r="F70" s="72">
        <v>6</v>
      </c>
      <c r="G70" s="70">
        <v>14</v>
      </c>
      <c r="H70" s="72" t="s">
        <v>214</v>
      </c>
      <c r="I70" s="72" t="s">
        <v>227</v>
      </c>
      <c r="J70" s="72" t="s">
        <v>229</v>
      </c>
      <c r="K70" s="72" t="s">
        <v>226</v>
      </c>
      <c r="L70" s="70">
        <v>29</v>
      </c>
      <c r="M70" s="72" t="s">
        <v>121</v>
      </c>
      <c r="N70" s="72" t="s">
        <v>121</v>
      </c>
      <c r="O70" s="72" t="s">
        <v>121</v>
      </c>
      <c r="P70" s="72" t="s">
        <v>121</v>
      </c>
      <c r="Q70" s="76"/>
      <c r="R70" s="75">
        <v>20</v>
      </c>
      <c r="S70" s="75" t="s">
        <v>119</v>
      </c>
      <c r="T70" s="84">
        <v>78898.615000000005</v>
      </c>
      <c r="AD70" s="89">
        <f t="shared" ref="AD70:AD134" si="5">IF(PI()*(G70/2)^2=0,"",PI()*(G70/2)^2)</f>
        <v>153.93804002589985</v>
      </c>
      <c r="AF70" s="91"/>
      <c r="AG70" s="91"/>
    </row>
    <row r="71" spans="1:34" s="89" customFormat="1" ht="60" customHeight="1" x14ac:dyDescent="0.3">
      <c r="A71" s="70" t="s">
        <v>130</v>
      </c>
      <c r="B71" s="70" t="s">
        <v>296</v>
      </c>
      <c r="C71" s="74" t="s">
        <v>292</v>
      </c>
      <c r="D71" s="74" t="s">
        <v>281</v>
      </c>
      <c r="E71" s="72" t="s">
        <v>126</v>
      </c>
      <c r="F71" s="72">
        <v>6</v>
      </c>
      <c r="G71" s="70">
        <v>14</v>
      </c>
      <c r="H71" s="72" t="s">
        <v>214</v>
      </c>
      <c r="I71" s="72" t="s">
        <v>227</v>
      </c>
      <c r="J71" s="72" t="s">
        <v>229</v>
      </c>
      <c r="K71" s="72" t="s">
        <v>226</v>
      </c>
      <c r="L71" s="70">
        <v>6</v>
      </c>
      <c r="M71" s="72" t="s">
        <v>121</v>
      </c>
      <c r="N71" s="72" t="s">
        <v>121</v>
      </c>
      <c r="O71" s="72" t="s">
        <v>121</v>
      </c>
      <c r="P71" s="72" t="s">
        <v>121</v>
      </c>
      <c r="Q71" s="76"/>
      <c r="R71" s="75">
        <v>20</v>
      </c>
      <c r="S71" s="75" t="s">
        <v>119</v>
      </c>
      <c r="T71" s="84">
        <v>78898.615000000005</v>
      </c>
      <c r="AD71" s="89">
        <f t="shared" si="5"/>
        <v>153.93804002589985</v>
      </c>
      <c r="AF71" s="91"/>
      <c r="AG71" s="91"/>
    </row>
    <row r="72" spans="1:34" s="89" customFormat="1" ht="60" customHeight="1" x14ac:dyDescent="0.3">
      <c r="A72" s="70" t="s">
        <v>130</v>
      </c>
      <c r="B72" s="70" t="s">
        <v>295</v>
      </c>
      <c r="C72" s="74" t="s">
        <v>281</v>
      </c>
      <c r="D72" s="74" t="s">
        <v>289</v>
      </c>
      <c r="E72" s="72" t="s">
        <v>126</v>
      </c>
      <c r="F72" s="72" t="s">
        <v>157</v>
      </c>
      <c r="G72" s="72" t="s">
        <v>157</v>
      </c>
      <c r="H72" s="72" t="s">
        <v>214</v>
      </c>
      <c r="I72" s="72" t="s">
        <v>227</v>
      </c>
      <c r="J72" s="72" t="s">
        <v>155</v>
      </c>
      <c r="K72" s="72" t="s">
        <v>226</v>
      </c>
      <c r="L72" s="70">
        <v>2</v>
      </c>
      <c r="M72" s="72" t="s">
        <v>121</v>
      </c>
      <c r="N72" s="72" t="s">
        <v>121</v>
      </c>
      <c r="O72" s="72" t="s">
        <v>121</v>
      </c>
      <c r="P72" s="72" t="s">
        <v>121</v>
      </c>
      <c r="Q72" s="76"/>
      <c r="R72" s="75" t="s">
        <v>152</v>
      </c>
      <c r="S72" s="75" t="s">
        <v>152</v>
      </c>
      <c r="T72" s="85" t="s">
        <v>217</v>
      </c>
      <c r="AD72" s="89" t="e">
        <f t="shared" si="5"/>
        <v>#VALUE!</v>
      </c>
      <c r="AE72" s="90"/>
      <c r="AF72" s="91"/>
      <c r="AG72" s="91"/>
    </row>
    <row r="73" spans="1:34" s="89" customFormat="1" ht="60" customHeight="1" x14ac:dyDescent="0.3">
      <c r="A73" s="70" t="s">
        <v>130</v>
      </c>
      <c r="B73" s="70" t="s">
        <v>294</v>
      </c>
      <c r="C73" s="74" t="s">
        <v>224</v>
      </c>
      <c r="D73" s="74" t="s">
        <v>292</v>
      </c>
      <c r="E73" s="72" t="s">
        <v>126</v>
      </c>
      <c r="F73" s="72">
        <v>1.5</v>
      </c>
      <c r="G73" s="72">
        <v>16.100000000000001</v>
      </c>
      <c r="H73" s="72" t="s">
        <v>223</v>
      </c>
      <c r="I73" s="72" t="s">
        <v>195</v>
      </c>
      <c r="J73" s="73" t="s">
        <v>194</v>
      </c>
      <c r="K73" s="72" t="s">
        <v>154</v>
      </c>
      <c r="L73" s="70">
        <v>29</v>
      </c>
      <c r="M73" s="72" t="s">
        <v>121</v>
      </c>
      <c r="N73" s="72" t="s">
        <v>121</v>
      </c>
      <c r="O73" s="72" t="s">
        <v>121</v>
      </c>
      <c r="P73" s="72" t="s">
        <v>121</v>
      </c>
      <c r="Q73" s="76"/>
      <c r="R73" s="75">
        <v>20</v>
      </c>
      <c r="S73" s="75" t="s">
        <v>119</v>
      </c>
      <c r="T73" s="84">
        <v>78898.615000000005</v>
      </c>
      <c r="AD73" s="89">
        <f t="shared" si="5"/>
        <v>203.58305793425259</v>
      </c>
      <c r="AF73" s="91"/>
      <c r="AG73" s="91"/>
    </row>
    <row r="74" spans="1:34" s="89" customFormat="1" ht="60" customHeight="1" x14ac:dyDescent="0.3">
      <c r="A74" s="70" t="s">
        <v>130</v>
      </c>
      <c r="B74" s="70" t="s">
        <v>293</v>
      </c>
      <c r="C74" s="74" t="s">
        <v>292</v>
      </c>
      <c r="D74" s="74" t="s">
        <v>290</v>
      </c>
      <c r="E74" s="72" t="s">
        <v>126</v>
      </c>
      <c r="F74" s="72">
        <v>1.5</v>
      </c>
      <c r="G74" s="72">
        <v>11.9</v>
      </c>
      <c r="H74" s="72" t="s">
        <v>196</v>
      </c>
      <c r="I74" s="72" t="s">
        <v>195</v>
      </c>
      <c r="J74" s="73" t="s">
        <v>194</v>
      </c>
      <c r="K74" s="72" t="s">
        <v>154</v>
      </c>
      <c r="L74" s="70">
        <v>6</v>
      </c>
      <c r="M74" s="72" t="s">
        <v>121</v>
      </c>
      <c r="N74" s="72" t="s">
        <v>121</v>
      </c>
      <c r="O74" s="72" t="s">
        <v>121</v>
      </c>
      <c r="P74" s="72" t="s">
        <v>121</v>
      </c>
      <c r="Q74" s="76"/>
      <c r="R74" s="75">
        <v>20</v>
      </c>
      <c r="S74" s="75" t="s">
        <v>119</v>
      </c>
      <c r="T74" s="84">
        <v>78898.615000000005</v>
      </c>
      <c r="AD74" s="89">
        <f t="shared" si="5"/>
        <v>111.22023391871267</v>
      </c>
      <c r="AF74" s="91"/>
      <c r="AG74" s="91"/>
    </row>
    <row r="75" spans="1:34" s="89" customFormat="1" ht="60" customHeight="1" x14ac:dyDescent="0.3">
      <c r="A75" s="70" t="s">
        <v>130</v>
      </c>
      <c r="B75" s="70" t="s">
        <v>291</v>
      </c>
      <c r="C75" s="74" t="s">
        <v>290</v>
      </c>
      <c r="D75" s="74" t="s">
        <v>289</v>
      </c>
      <c r="E75" s="72" t="s">
        <v>126</v>
      </c>
      <c r="F75" s="72" t="s">
        <v>157</v>
      </c>
      <c r="G75" s="72" t="s">
        <v>157</v>
      </c>
      <c r="H75" s="72" t="s">
        <v>196</v>
      </c>
      <c r="I75" s="72" t="s">
        <v>195</v>
      </c>
      <c r="J75" s="72" t="s">
        <v>155</v>
      </c>
      <c r="K75" s="72" t="s">
        <v>154</v>
      </c>
      <c r="L75" s="70">
        <v>2</v>
      </c>
      <c r="M75" s="72" t="s">
        <v>121</v>
      </c>
      <c r="N75" s="72" t="s">
        <v>121</v>
      </c>
      <c r="O75" s="72" t="s">
        <v>121</v>
      </c>
      <c r="P75" s="72" t="s">
        <v>121</v>
      </c>
      <c r="Q75" s="73"/>
      <c r="R75" s="75" t="s">
        <v>152</v>
      </c>
      <c r="S75" s="75" t="s">
        <v>152</v>
      </c>
      <c r="T75" s="85" t="s">
        <v>217</v>
      </c>
      <c r="AD75" s="89" t="e">
        <f t="shared" si="5"/>
        <v>#VALUE!</v>
      </c>
      <c r="AE75" s="90"/>
      <c r="AF75" s="91"/>
      <c r="AG75" s="91"/>
    </row>
    <row r="76" spans="1:34" s="89" customFormat="1" ht="60" customHeight="1" x14ac:dyDescent="0.3">
      <c r="A76" s="70" t="s">
        <v>130</v>
      </c>
      <c r="B76" s="70" t="s">
        <v>288</v>
      </c>
      <c r="C76" s="74" t="s">
        <v>224</v>
      </c>
      <c r="D76" s="74" t="s">
        <v>283</v>
      </c>
      <c r="E76" s="72" t="s">
        <v>126</v>
      </c>
      <c r="F76" s="72">
        <v>6</v>
      </c>
      <c r="G76" s="70">
        <v>14</v>
      </c>
      <c r="H76" s="72" t="s">
        <v>214</v>
      </c>
      <c r="I76" s="72" t="s">
        <v>227</v>
      </c>
      <c r="J76" s="72" t="s">
        <v>229</v>
      </c>
      <c r="K76" s="72" t="s">
        <v>226</v>
      </c>
      <c r="L76" s="70">
        <v>29</v>
      </c>
      <c r="M76" s="72" t="s">
        <v>121</v>
      </c>
      <c r="N76" s="72" t="s">
        <v>121</v>
      </c>
      <c r="O76" s="72" t="s">
        <v>121</v>
      </c>
      <c r="P76" s="72" t="s">
        <v>121</v>
      </c>
      <c r="Q76" s="76"/>
      <c r="R76" s="75">
        <v>20</v>
      </c>
      <c r="S76" s="75" t="s">
        <v>119</v>
      </c>
      <c r="T76" s="84">
        <v>78898.615999999995</v>
      </c>
      <c r="AD76" s="89">
        <f t="shared" si="5"/>
        <v>153.93804002589985</v>
      </c>
      <c r="AE76" s="90"/>
      <c r="AF76" s="91"/>
      <c r="AG76" s="91"/>
    </row>
    <row r="77" spans="1:34" s="89" customFormat="1" ht="60" customHeight="1" x14ac:dyDescent="0.3">
      <c r="A77" s="70" t="s">
        <v>130</v>
      </c>
      <c r="B77" s="70" t="s">
        <v>287</v>
      </c>
      <c r="C77" s="74" t="s">
        <v>283</v>
      </c>
      <c r="D77" s="74" t="s">
        <v>281</v>
      </c>
      <c r="E77" s="72" t="s">
        <v>126</v>
      </c>
      <c r="F77" s="72">
        <v>6</v>
      </c>
      <c r="G77" s="70">
        <v>14</v>
      </c>
      <c r="H77" s="72" t="s">
        <v>214</v>
      </c>
      <c r="I77" s="72" t="s">
        <v>227</v>
      </c>
      <c r="J77" s="72" t="s">
        <v>229</v>
      </c>
      <c r="K77" s="72" t="s">
        <v>226</v>
      </c>
      <c r="L77" s="70">
        <v>6</v>
      </c>
      <c r="M77" s="72" t="s">
        <v>121</v>
      </c>
      <c r="N77" s="72" t="s">
        <v>121</v>
      </c>
      <c r="O77" s="72" t="s">
        <v>121</v>
      </c>
      <c r="P77" s="72" t="s">
        <v>121</v>
      </c>
      <c r="Q77" s="76"/>
      <c r="R77" s="75">
        <v>20</v>
      </c>
      <c r="S77" s="75" t="s">
        <v>119</v>
      </c>
      <c r="T77" s="84">
        <v>78898.615999999995</v>
      </c>
      <c r="AD77" s="89">
        <f t="shared" si="5"/>
        <v>153.93804002589985</v>
      </c>
      <c r="AF77" s="91"/>
      <c r="AG77" s="91"/>
    </row>
    <row r="78" spans="1:34" s="89" customFormat="1" ht="60" customHeight="1" x14ac:dyDescent="0.3">
      <c r="A78" s="70" t="s">
        <v>130</v>
      </c>
      <c r="B78" s="70" t="s">
        <v>286</v>
      </c>
      <c r="C78" s="74" t="s">
        <v>281</v>
      </c>
      <c r="D78" s="74" t="s">
        <v>280</v>
      </c>
      <c r="E78" s="72" t="s">
        <v>126</v>
      </c>
      <c r="F78" s="72" t="s">
        <v>157</v>
      </c>
      <c r="G78" s="72" t="s">
        <v>157</v>
      </c>
      <c r="H78" s="72" t="s">
        <v>214</v>
      </c>
      <c r="I78" s="72" t="s">
        <v>227</v>
      </c>
      <c r="J78" s="72" t="s">
        <v>155</v>
      </c>
      <c r="K78" s="72" t="s">
        <v>226</v>
      </c>
      <c r="L78" s="70">
        <v>2</v>
      </c>
      <c r="M78" s="72" t="s">
        <v>121</v>
      </c>
      <c r="N78" s="72" t="s">
        <v>121</v>
      </c>
      <c r="O78" s="72" t="s">
        <v>121</v>
      </c>
      <c r="P78" s="72" t="s">
        <v>121</v>
      </c>
      <c r="Q78" s="76"/>
      <c r="R78" s="75" t="s">
        <v>152</v>
      </c>
      <c r="S78" s="75" t="s">
        <v>152</v>
      </c>
      <c r="T78" s="85" t="s">
        <v>217</v>
      </c>
      <c r="AD78" s="89" t="e">
        <f t="shared" si="5"/>
        <v>#VALUE!</v>
      </c>
      <c r="AE78" s="90"/>
      <c r="AF78" s="91"/>
      <c r="AG78" s="91"/>
    </row>
    <row r="79" spans="1:34" s="89" customFormat="1" ht="60" customHeight="1" x14ac:dyDescent="0.3">
      <c r="A79" s="70" t="s">
        <v>130</v>
      </c>
      <c r="B79" s="70" t="s">
        <v>285</v>
      </c>
      <c r="C79" s="74" t="s">
        <v>224</v>
      </c>
      <c r="D79" s="74" t="s">
        <v>283</v>
      </c>
      <c r="E79" s="72" t="s">
        <v>126</v>
      </c>
      <c r="F79" s="72">
        <v>1.5</v>
      </c>
      <c r="G79" s="72">
        <v>16.100000000000001</v>
      </c>
      <c r="H79" s="72" t="s">
        <v>223</v>
      </c>
      <c r="I79" s="72" t="s">
        <v>195</v>
      </c>
      <c r="J79" s="73" t="s">
        <v>194</v>
      </c>
      <c r="K79" s="72" t="s">
        <v>154</v>
      </c>
      <c r="L79" s="70">
        <v>29</v>
      </c>
      <c r="M79" s="72" t="s">
        <v>121</v>
      </c>
      <c r="N79" s="72" t="s">
        <v>121</v>
      </c>
      <c r="O79" s="72" t="s">
        <v>121</v>
      </c>
      <c r="P79" s="72" t="s">
        <v>121</v>
      </c>
      <c r="Q79" s="76"/>
      <c r="R79" s="75">
        <v>20</v>
      </c>
      <c r="S79" s="75" t="s">
        <v>119</v>
      </c>
      <c r="T79" s="84">
        <v>78898.615999999995</v>
      </c>
      <c r="AD79" s="89">
        <f t="shared" si="5"/>
        <v>203.58305793425259</v>
      </c>
      <c r="AF79" s="91"/>
      <c r="AG79" s="91"/>
    </row>
    <row r="80" spans="1:34" s="89" customFormat="1" ht="60" customHeight="1" x14ac:dyDescent="0.3">
      <c r="A80" s="70" t="s">
        <v>130</v>
      </c>
      <c r="B80" s="70" t="s">
        <v>284</v>
      </c>
      <c r="C80" s="74" t="s">
        <v>283</v>
      </c>
      <c r="D80" s="74" t="s">
        <v>281</v>
      </c>
      <c r="E80" s="72" t="s">
        <v>126</v>
      </c>
      <c r="F80" s="72">
        <v>1.5</v>
      </c>
      <c r="G80" s="72">
        <v>11.9</v>
      </c>
      <c r="H80" s="72" t="s">
        <v>196</v>
      </c>
      <c r="I80" s="72" t="s">
        <v>195</v>
      </c>
      <c r="J80" s="73" t="s">
        <v>194</v>
      </c>
      <c r="K80" s="72" t="s">
        <v>154</v>
      </c>
      <c r="L80" s="70">
        <v>6</v>
      </c>
      <c r="M80" s="72" t="s">
        <v>121</v>
      </c>
      <c r="N80" s="72" t="s">
        <v>121</v>
      </c>
      <c r="O80" s="72" t="s">
        <v>121</v>
      </c>
      <c r="P80" s="72" t="s">
        <v>121</v>
      </c>
      <c r="Q80" s="76"/>
      <c r="R80" s="75">
        <v>20</v>
      </c>
      <c r="S80" s="75" t="s">
        <v>119</v>
      </c>
      <c r="T80" s="84">
        <v>78898.615999999995</v>
      </c>
      <c r="AD80" s="89">
        <f t="shared" si="5"/>
        <v>111.22023391871267</v>
      </c>
      <c r="AE80" s="90"/>
      <c r="AF80" s="91"/>
      <c r="AG80" s="91"/>
    </row>
    <row r="81" spans="1:33" s="89" customFormat="1" ht="60" customHeight="1" x14ac:dyDescent="0.3">
      <c r="A81" s="70" t="s">
        <v>130</v>
      </c>
      <c r="B81" s="70" t="s">
        <v>282</v>
      </c>
      <c r="C81" s="74" t="s">
        <v>281</v>
      </c>
      <c r="D81" s="74" t="s">
        <v>280</v>
      </c>
      <c r="E81" s="72" t="s">
        <v>126</v>
      </c>
      <c r="F81" s="72" t="s">
        <v>157</v>
      </c>
      <c r="G81" s="72" t="s">
        <v>157</v>
      </c>
      <c r="H81" s="72" t="s">
        <v>196</v>
      </c>
      <c r="I81" s="72" t="s">
        <v>195</v>
      </c>
      <c r="J81" s="72" t="s">
        <v>155</v>
      </c>
      <c r="K81" s="72" t="s">
        <v>154</v>
      </c>
      <c r="L81" s="70">
        <v>2</v>
      </c>
      <c r="M81" s="72" t="s">
        <v>121</v>
      </c>
      <c r="N81" s="72" t="s">
        <v>121</v>
      </c>
      <c r="O81" s="72" t="s">
        <v>121</v>
      </c>
      <c r="P81" s="72" t="s">
        <v>121</v>
      </c>
      <c r="Q81" s="73"/>
      <c r="R81" s="75" t="s">
        <v>152</v>
      </c>
      <c r="S81" s="75" t="s">
        <v>152</v>
      </c>
      <c r="T81" s="85" t="s">
        <v>217</v>
      </c>
      <c r="AD81" s="89" t="e">
        <f t="shared" si="5"/>
        <v>#VALUE!</v>
      </c>
      <c r="AF81" s="91"/>
      <c r="AG81" s="91"/>
    </row>
    <row r="82" spans="1:33" s="66" customFormat="1" ht="60" customHeight="1" x14ac:dyDescent="0.3">
      <c r="A82" s="70" t="s">
        <v>130</v>
      </c>
      <c r="B82" s="70" t="s">
        <v>279</v>
      </c>
      <c r="C82" s="74" t="s">
        <v>164</v>
      </c>
      <c r="D82" s="74" t="s">
        <v>278</v>
      </c>
      <c r="E82" s="72" t="s">
        <v>126</v>
      </c>
      <c r="F82" s="72">
        <v>1.5</v>
      </c>
      <c r="G82" s="72">
        <v>10.4</v>
      </c>
      <c r="H82" s="72" t="s">
        <v>214</v>
      </c>
      <c r="I82" s="72" t="s">
        <v>195</v>
      </c>
      <c r="J82" s="73" t="s">
        <v>194</v>
      </c>
      <c r="K82" s="72" t="s">
        <v>154</v>
      </c>
      <c r="L82" s="70">
        <v>30</v>
      </c>
      <c r="M82" s="72" t="s">
        <v>121</v>
      </c>
      <c r="N82" s="72" t="s">
        <v>121</v>
      </c>
      <c r="O82" s="72" t="s">
        <v>121</v>
      </c>
      <c r="P82" s="72" t="s">
        <v>121</v>
      </c>
      <c r="Q82" s="72"/>
      <c r="R82" s="75">
        <v>20</v>
      </c>
      <c r="S82" s="75" t="s">
        <v>119</v>
      </c>
      <c r="T82" s="84">
        <v>78898.952999999994</v>
      </c>
      <c r="AD82" s="89">
        <f>IF(PI()*(G82/2)^2=0,"",PI()*(G82/2)^2)</f>
        <v>84.948665353068009</v>
      </c>
    </row>
    <row r="83" spans="1:33" s="89" customFormat="1" ht="60" customHeight="1" x14ac:dyDescent="0.3">
      <c r="A83" s="70" t="s">
        <v>130</v>
      </c>
      <c r="B83" s="70" t="s">
        <v>277</v>
      </c>
      <c r="C83" s="74" t="s">
        <v>224</v>
      </c>
      <c r="D83" s="74" t="s">
        <v>272</v>
      </c>
      <c r="E83" s="72" t="s">
        <v>126</v>
      </c>
      <c r="F83" s="72">
        <v>6</v>
      </c>
      <c r="G83" s="70">
        <v>14</v>
      </c>
      <c r="H83" s="72" t="s">
        <v>214</v>
      </c>
      <c r="I83" s="72" t="s">
        <v>227</v>
      </c>
      <c r="J83" s="72" t="s">
        <v>229</v>
      </c>
      <c r="K83" s="72" t="s">
        <v>226</v>
      </c>
      <c r="L83" s="70">
        <v>29</v>
      </c>
      <c r="M83" s="72" t="s">
        <v>121</v>
      </c>
      <c r="N83" s="72" t="s">
        <v>121</v>
      </c>
      <c r="O83" s="72" t="s">
        <v>121</v>
      </c>
      <c r="P83" s="72" t="s">
        <v>121</v>
      </c>
      <c r="Q83" s="76"/>
      <c r="R83" s="75">
        <v>20</v>
      </c>
      <c r="S83" s="75" t="s">
        <v>119</v>
      </c>
      <c r="T83" s="84">
        <v>78898.616999999998</v>
      </c>
      <c r="AD83" s="89">
        <f t="shared" si="5"/>
        <v>153.93804002589985</v>
      </c>
      <c r="AE83" s="90"/>
      <c r="AF83" s="91"/>
      <c r="AG83" s="91"/>
    </row>
    <row r="84" spans="1:33" s="89" customFormat="1" ht="60" customHeight="1" x14ac:dyDescent="0.3">
      <c r="A84" s="70" t="s">
        <v>130</v>
      </c>
      <c r="B84" s="70" t="s">
        <v>276</v>
      </c>
      <c r="C84" s="74" t="s">
        <v>272</v>
      </c>
      <c r="D84" s="74" t="s">
        <v>262</v>
      </c>
      <c r="E84" s="72" t="s">
        <v>126</v>
      </c>
      <c r="F84" s="72">
        <v>6</v>
      </c>
      <c r="G84" s="70">
        <v>14</v>
      </c>
      <c r="H84" s="72" t="s">
        <v>214</v>
      </c>
      <c r="I84" s="72" t="s">
        <v>227</v>
      </c>
      <c r="J84" s="72" t="s">
        <v>229</v>
      </c>
      <c r="K84" s="72" t="s">
        <v>226</v>
      </c>
      <c r="L84" s="70">
        <v>4</v>
      </c>
      <c r="M84" s="72" t="s">
        <v>121</v>
      </c>
      <c r="N84" s="72" t="s">
        <v>121</v>
      </c>
      <c r="O84" s="72" t="s">
        <v>121</v>
      </c>
      <c r="P84" s="72" t="s">
        <v>121</v>
      </c>
      <c r="Q84" s="76"/>
      <c r="R84" s="75">
        <v>20</v>
      </c>
      <c r="S84" s="75" t="s">
        <v>119</v>
      </c>
      <c r="T84" s="84">
        <v>78898.616999999998</v>
      </c>
      <c r="AD84" s="89">
        <f t="shared" si="5"/>
        <v>153.93804002589985</v>
      </c>
      <c r="AF84" s="91"/>
      <c r="AG84" s="91"/>
    </row>
    <row r="85" spans="1:33" s="89" customFormat="1" ht="60" customHeight="1" x14ac:dyDescent="0.3">
      <c r="A85" s="70" t="s">
        <v>130</v>
      </c>
      <c r="B85" s="70" t="s">
        <v>275</v>
      </c>
      <c r="C85" s="74" t="s">
        <v>262</v>
      </c>
      <c r="D85" s="74" t="s">
        <v>270</v>
      </c>
      <c r="E85" s="72" t="s">
        <v>126</v>
      </c>
      <c r="F85" s="72" t="s">
        <v>157</v>
      </c>
      <c r="G85" s="72" t="s">
        <v>157</v>
      </c>
      <c r="H85" s="72" t="s">
        <v>214</v>
      </c>
      <c r="I85" s="72" t="s">
        <v>227</v>
      </c>
      <c r="J85" s="72" t="s">
        <v>155</v>
      </c>
      <c r="K85" s="72" t="s">
        <v>226</v>
      </c>
      <c r="L85" s="70">
        <v>2</v>
      </c>
      <c r="M85" s="72" t="s">
        <v>121</v>
      </c>
      <c r="N85" s="72" t="s">
        <v>121</v>
      </c>
      <c r="O85" s="72" t="s">
        <v>121</v>
      </c>
      <c r="P85" s="72" t="s">
        <v>121</v>
      </c>
      <c r="Q85" s="76"/>
      <c r="R85" s="75" t="s">
        <v>152</v>
      </c>
      <c r="S85" s="75" t="s">
        <v>152</v>
      </c>
      <c r="T85" s="85" t="s">
        <v>217</v>
      </c>
      <c r="AD85" s="89" t="e">
        <f t="shared" si="5"/>
        <v>#VALUE!</v>
      </c>
      <c r="AE85" s="90"/>
      <c r="AF85" s="91"/>
      <c r="AG85" s="91"/>
    </row>
    <row r="86" spans="1:33" s="89" customFormat="1" ht="60" customHeight="1" x14ac:dyDescent="0.3">
      <c r="A86" s="70" t="s">
        <v>130</v>
      </c>
      <c r="B86" s="70" t="s">
        <v>274</v>
      </c>
      <c r="C86" s="74" t="s">
        <v>224</v>
      </c>
      <c r="D86" s="74" t="s">
        <v>272</v>
      </c>
      <c r="E86" s="72" t="s">
        <v>126</v>
      </c>
      <c r="F86" s="72">
        <v>1.5</v>
      </c>
      <c r="G86" s="72">
        <v>16.100000000000001</v>
      </c>
      <c r="H86" s="72" t="s">
        <v>223</v>
      </c>
      <c r="I86" s="72" t="s">
        <v>195</v>
      </c>
      <c r="J86" s="73" t="s">
        <v>194</v>
      </c>
      <c r="K86" s="72" t="s">
        <v>154</v>
      </c>
      <c r="L86" s="70">
        <v>29</v>
      </c>
      <c r="M86" s="72" t="s">
        <v>121</v>
      </c>
      <c r="N86" s="72" t="s">
        <v>121</v>
      </c>
      <c r="O86" s="72" t="s">
        <v>121</v>
      </c>
      <c r="P86" s="72" t="s">
        <v>121</v>
      </c>
      <c r="Q86" s="76"/>
      <c r="R86" s="75">
        <v>20</v>
      </c>
      <c r="S86" s="75" t="s">
        <v>119</v>
      </c>
      <c r="T86" s="84">
        <v>78898.616999999998</v>
      </c>
      <c r="AD86" s="89">
        <f t="shared" si="5"/>
        <v>203.58305793425259</v>
      </c>
      <c r="AF86" s="91"/>
      <c r="AG86" s="91"/>
    </row>
    <row r="87" spans="1:33" s="89" customFormat="1" ht="60" customHeight="1" x14ac:dyDescent="0.3">
      <c r="A87" s="70" t="s">
        <v>130</v>
      </c>
      <c r="B87" s="70" t="s">
        <v>273</v>
      </c>
      <c r="C87" s="74" t="s">
        <v>272</v>
      </c>
      <c r="D87" s="74" t="s">
        <v>262</v>
      </c>
      <c r="E87" s="72" t="s">
        <v>126</v>
      </c>
      <c r="F87" s="72">
        <v>1.5</v>
      </c>
      <c r="G87" s="72">
        <v>11.9</v>
      </c>
      <c r="H87" s="72" t="s">
        <v>196</v>
      </c>
      <c r="I87" s="72" t="s">
        <v>195</v>
      </c>
      <c r="J87" s="73" t="s">
        <v>194</v>
      </c>
      <c r="K87" s="72" t="s">
        <v>154</v>
      </c>
      <c r="L87" s="70">
        <v>4</v>
      </c>
      <c r="M87" s="72" t="s">
        <v>121</v>
      </c>
      <c r="N87" s="72" t="s">
        <v>121</v>
      </c>
      <c r="O87" s="72" t="s">
        <v>121</v>
      </c>
      <c r="P87" s="72" t="s">
        <v>121</v>
      </c>
      <c r="Q87" s="76"/>
      <c r="R87" s="75">
        <v>20</v>
      </c>
      <c r="S87" s="75" t="s">
        <v>119</v>
      </c>
      <c r="T87" s="84">
        <v>78898.616999999998</v>
      </c>
      <c r="AD87" s="89">
        <f t="shared" si="5"/>
        <v>111.22023391871267</v>
      </c>
      <c r="AE87" s="90"/>
      <c r="AF87" s="91"/>
      <c r="AG87" s="91"/>
    </row>
    <row r="88" spans="1:33" s="89" customFormat="1" ht="60" customHeight="1" x14ac:dyDescent="0.3">
      <c r="A88" s="70" t="s">
        <v>130</v>
      </c>
      <c r="B88" s="70" t="s">
        <v>271</v>
      </c>
      <c r="C88" s="74" t="s">
        <v>262</v>
      </c>
      <c r="D88" s="74" t="s">
        <v>270</v>
      </c>
      <c r="E88" s="72" t="s">
        <v>126</v>
      </c>
      <c r="F88" s="72" t="s">
        <v>157</v>
      </c>
      <c r="G88" s="72" t="s">
        <v>157</v>
      </c>
      <c r="H88" s="72" t="s">
        <v>196</v>
      </c>
      <c r="I88" s="72" t="s">
        <v>195</v>
      </c>
      <c r="J88" s="72" t="s">
        <v>155</v>
      </c>
      <c r="K88" s="72" t="s">
        <v>154</v>
      </c>
      <c r="L88" s="70">
        <v>2</v>
      </c>
      <c r="M88" s="72" t="s">
        <v>121</v>
      </c>
      <c r="N88" s="72" t="s">
        <v>121</v>
      </c>
      <c r="O88" s="72" t="s">
        <v>121</v>
      </c>
      <c r="P88" s="72" t="s">
        <v>121</v>
      </c>
      <c r="Q88" s="73"/>
      <c r="R88" s="75" t="s">
        <v>152</v>
      </c>
      <c r="S88" s="75" t="s">
        <v>152</v>
      </c>
      <c r="T88" s="85" t="s">
        <v>217</v>
      </c>
      <c r="AD88" s="89" t="e">
        <f t="shared" si="5"/>
        <v>#VALUE!</v>
      </c>
      <c r="AF88" s="91"/>
      <c r="AG88" s="91"/>
    </row>
    <row r="89" spans="1:33" s="89" customFormat="1" ht="60" customHeight="1" x14ac:dyDescent="0.3">
      <c r="A89" s="70" t="s">
        <v>130</v>
      </c>
      <c r="B89" s="70" t="s">
        <v>269</v>
      </c>
      <c r="C89" s="74" t="s">
        <v>224</v>
      </c>
      <c r="D89" s="74" t="s">
        <v>264</v>
      </c>
      <c r="E89" s="72" t="s">
        <v>126</v>
      </c>
      <c r="F89" s="72">
        <v>6</v>
      </c>
      <c r="G89" s="70">
        <v>14</v>
      </c>
      <c r="H89" s="72" t="s">
        <v>214</v>
      </c>
      <c r="I89" s="72" t="s">
        <v>227</v>
      </c>
      <c r="J89" s="72" t="s">
        <v>229</v>
      </c>
      <c r="K89" s="72" t="s">
        <v>226</v>
      </c>
      <c r="L89" s="70">
        <v>29</v>
      </c>
      <c r="M89" s="72" t="s">
        <v>121</v>
      </c>
      <c r="N89" s="72" t="s">
        <v>121</v>
      </c>
      <c r="O89" s="72" t="s">
        <v>121</v>
      </c>
      <c r="P89" s="72" t="s">
        <v>121</v>
      </c>
      <c r="Q89" s="76"/>
      <c r="R89" s="75">
        <v>20</v>
      </c>
      <c r="S89" s="75" t="s">
        <v>119</v>
      </c>
      <c r="T89" s="84">
        <v>78898.618000000002</v>
      </c>
      <c r="AD89" s="89">
        <f t="shared" si="5"/>
        <v>153.93804002589985</v>
      </c>
      <c r="AE89" s="90"/>
      <c r="AF89" s="91"/>
      <c r="AG89" s="91"/>
    </row>
    <row r="90" spans="1:33" s="89" customFormat="1" ht="60" customHeight="1" x14ac:dyDescent="0.3">
      <c r="A90" s="70" t="s">
        <v>130</v>
      </c>
      <c r="B90" s="70" t="s">
        <v>268</v>
      </c>
      <c r="C90" s="74" t="s">
        <v>264</v>
      </c>
      <c r="D90" s="74" t="s">
        <v>262</v>
      </c>
      <c r="E90" s="72" t="s">
        <v>126</v>
      </c>
      <c r="F90" s="72">
        <v>6</v>
      </c>
      <c r="G90" s="70">
        <v>14</v>
      </c>
      <c r="H90" s="72" t="s">
        <v>214</v>
      </c>
      <c r="I90" s="72" t="s">
        <v>227</v>
      </c>
      <c r="J90" s="72" t="s">
        <v>229</v>
      </c>
      <c r="K90" s="72" t="s">
        <v>226</v>
      </c>
      <c r="L90" s="70">
        <v>4</v>
      </c>
      <c r="M90" s="72" t="s">
        <v>121</v>
      </c>
      <c r="N90" s="72" t="s">
        <v>121</v>
      </c>
      <c r="O90" s="72" t="s">
        <v>121</v>
      </c>
      <c r="P90" s="72" t="s">
        <v>121</v>
      </c>
      <c r="Q90" s="76"/>
      <c r="R90" s="75">
        <v>20</v>
      </c>
      <c r="S90" s="75" t="s">
        <v>119</v>
      </c>
      <c r="T90" s="84">
        <v>78898.618000000002</v>
      </c>
      <c r="AD90" s="89">
        <f t="shared" si="5"/>
        <v>153.93804002589985</v>
      </c>
      <c r="AF90" s="91"/>
      <c r="AG90" s="91"/>
    </row>
    <row r="91" spans="1:33" s="89" customFormat="1" ht="60" customHeight="1" x14ac:dyDescent="0.3">
      <c r="A91" s="70" t="s">
        <v>130</v>
      </c>
      <c r="B91" s="70" t="s">
        <v>267</v>
      </c>
      <c r="C91" s="74" t="s">
        <v>262</v>
      </c>
      <c r="D91" s="74" t="s">
        <v>261</v>
      </c>
      <c r="E91" s="72" t="s">
        <v>126</v>
      </c>
      <c r="F91" s="72" t="s">
        <v>157</v>
      </c>
      <c r="G91" s="72" t="s">
        <v>157</v>
      </c>
      <c r="H91" s="72" t="s">
        <v>214</v>
      </c>
      <c r="I91" s="72" t="s">
        <v>227</v>
      </c>
      <c r="J91" s="72" t="s">
        <v>155</v>
      </c>
      <c r="K91" s="72" t="s">
        <v>226</v>
      </c>
      <c r="L91" s="70">
        <v>2</v>
      </c>
      <c r="M91" s="72" t="s">
        <v>121</v>
      </c>
      <c r="N91" s="72" t="s">
        <v>121</v>
      </c>
      <c r="O91" s="72" t="s">
        <v>121</v>
      </c>
      <c r="P91" s="72" t="s">
        <v>121</v>
      </c>
      <c r="Q91" s="76"/>
      <c r="R91" s="75" t="s">
        <v>152</v>
      </c>
      <c r="S91" s="75" t="s">
        <v>152</v>
      </c>
      <c r="T91" s="85" t="s">
        <v>217</v>
      </c>
      <c r="AD91" s="89" t="e">
        <f t="shared" si="5"/>
        <v>#VALUE!</v>
      </c>
      <c r="AE91" s="90"/>
      <c r="AF91" s="91"/>
      <c r="AG91" s="91"/>
    </row>
    <row r="92" spans="1:33" s="89" customFormat="1" ht="60" customHeight="1" x14ac:dyDescent="0.3">
      <c r="A92" s="70" t="s">
        <v>130</v>
      </c>
      <c r="B92" s="70" t="s">
        <v>266</v>
      </c>
      <c r="C92" s="74" t="s">
        <v>224</v>
      </c>
      <c r="D92" s="74" t="s">
        <v>264</v>
      </c>
      <c r="E92" s="72" t="s">
        <v>126</v>
      </c>
      <c r="F92" s="72">
        <v>1.5</v>
      </c>
      <c r="G92" s="72">
        <v>16.100000000000001</v>
      </c>
      <c r="H92" s="72" t="s">
        <v>223</v>
      </c>
      <c r="I92" s="72" t="s">
        <v>195</v>
      </c>
      <c r="J92" s="73" t="s">
        <v>194</v>
      </c>
      <c r="K92" s="72" t="s">
        <v>154</v>
      </c>
      <c r="L92" s="70">
        <v>29</v>
      </c>
      <c r="M92" s="72" t="s">
        <v>121</v>
      </c>
      <c r="N92" s="72" t="s">
        <v>121</v>
      </c>
      <c r="O92" s="72" t="s">
        <v>121</v>
      </c>
      <c r="P92" s="72" t="s">
        <v>121</v>
      </c>
      <c r="Q92" s="76"/>
      <c r="R92" s="75">
        <v>20</v>
      </c>
      <c r="S92" s="75" t="s">
        <v>119</v>
      </c>
      <c r="T92" s="84">
        <v>78898.618000000002</v>
      </c>
      <c r="AD92" s="89">
        <f t="shared" si="5"/>
        <v>203.58305793425259</v>
      </c>
      <c r="AF92" s="91"/>
      <c r="AG92" s="91"/>
    </row>
    <row r="93" spans="1:33" s="89" customFormat="1" ht="60" customHeight="1" x14ac:dyDescent="0.3">
      <c r="A93" s="70" t="s">
        <v>130</v>
      </c>
      <c r="B93" s="70" t="s">
        <v>265</v>
      </c>
      <c r="C93" s="74" t="s">
        <v>264</v>
      </c>
      <c r="D93" s="74" t="s">
        <v>262</v>
      </c>
      <c r="E93" s="72" t="s">
        <v>126</v>
      </c>
      <c r="F93" s="72">
        <v>1.5</v>
      </c>
      <c r="G93" s="72">
        <v>11.9</v>
      </c>
      <c r="H93" s="72" t="s">
        <v>196</v>
      </c>
      <c r="I93" s="72" t="s">
        <v>195</v>
      </c>
      <c r="J93" s="73" t="s">
        <v>194</v>
      </c>
      <c r="K93" s="72" t="s">
        <v>154</v>
      </c>
      <c r="L93" s="70">
        <v>4</v>
      </c>
      <c r="M93" s="72" t="s">
        <v>121</v>
      </c>
      <c r="N93" s="72" t="s">
        <v>121</v>
      </c>
      <c r="O93" s="72" t="s">
        <v>121</v>
      </c>
      <c r="P93" s="72" t="s">
        <v>121</v>
      </c>
      <c r="Q93" s="76"/>
      <c r="R93" s="75">
        <v>20</v>
      </c>
      <c r="S93" s="75" t="s">
        <v>119</v>
      </c>
      <c r="T93" s="84">
        <v>78898.618000000002</v>
      </c>
      <c r="AD93" s="89">
        <f t="shared" si="5"/>
        <v>111.22023391871267</v>
      </c>
      <c r="AE93" s="90"/>
      <c r="AF93" s="91"/>
      <c r="AG93" s="91"/>
    </row>
    <row r="94" spans="1:33" s="89" customFormat="1" ht="60" customHeight="1" x14ac:dyDescent="0.3">
      <c r="A94" s="70" t="s">
        <v>130</v>
      </c>
      <c r="B94" s="70" t="s">
        <v>263</v>
      </c>
      <c r="C94" s="74" t="s">
        <v>262</v>
      </c>
      <c r="D94" s="74" t="s">
        <v>261</v>
      </c>
      <c r="E94" s="72" t="s">
        <v>126</v>
      </c>
      <c r="F94" s="72" t="s">
        <v>157</v>
      </c>
      <c r="G94" s="72" t="s">
        <v>157</v>
      </c>
      <c r="H94" s="72" t="s">
        <v>196</v>
      </c>
      <c r="I94" s="72" t="s">
        <v>195</v>
      </c>
      <c r="J94" s="72" t="s">
        <v>155</v>
      </c>
      <c r="K94" s="72" t="s">
        <v>154</v>
      </c>
      <c r="L94" s="70">
        <v>2</v>
      </c>
      <c r="M94" s="72" t="s">
        <v>121</v>
      </c>
      <c r="N94" s="72" t="s">
        <v>121</v>
      </c>
      <c r="O94" s="72" t="s">
        <v>121</v>
      </c>
      <c r="P94" s="72" t="s">
        <v>121</v>
      </c>
      <c r="Q94" s="73"/>
      <c r="R94" s="75" t="s">
        <v>152</v>
      </c>
      <c r="S94" s="75" t="s">
        <v>152</v>
      </c>
      <c r="T94" s="85" t="s">
        <v>217</v>
      </c>
      <c r="AD94" s="89" t="e">
        <f t="shared" si="5"/>
        <v>#VALUE!</v>
      </c>
      <c r="AF94" s="91"/>
      <c r="AG94" s="91"/>
    </row>
    <row r="95" spans="1:33" s="66" customFormat="1" ht="60" customHeight="1" x14ac:dyDescent="0.3">
      <c r="A95" s="70" t="s">
        <v>130</v>
      </c>
      <c r="B95" s="70" t="s">
        <v>260</v>
      </c>
      <c r="C95" s="74" t="s">
        <v>164</v>
      </c>
      <c r="D95" s="74" t="s">
        <v>259</v>
      </c>
      <c r="E95" s="72" t="s">
        <v>126</v>
      </c>
      <c r="F95" s="72">
        <v>1.5</v>
      </c>
      <c r="G95" s="72">
        <v>10.4</v>
      </c>
      <c r="H95" s="72" t="s">
        <v>214</v>
      </c>
      <c r="I95" s="72" t="s">
        <v>195</v>
      </c>
      <c r="J95" s="73" t="s">
        <v>194</v>
      </c>
      <c r="K95" s="72" t="s">
        <v>154</v>
      </c>
      <c r="L95" s="70">
        <v>30</v>
      </c>
      <c r="M95" s="72" t="s">
        <v>121</v>
      </c>
      <c r="N95" s="72" t="s">
        <v>121</v>
      </c>
      <c r="O95" s="72" t="s">
        <v>121</v>
      </c>
      <c r="P95" s="72" t="s">
        <v>121</v>
      </c>
      <c r="Q95" s="72"/>
      <c r="R95" s="75">
        <v>20</v>
      </c>
      <c r="S95" s="75" t="s">
        <v>119</v>
      </c>
      <c r="T95" s="84">
        <v>78898.952999999994</v>
      </c>
      <c r="AD95" s="89">
        <f>IF(PI()*(G95/2)^2=0,"",PI()*(G95/2)^2)</f>
        <v>84.948665353068009</v>
      </c>
    </row>
    <row r="96" spans="1:33" s="89" customFormat="1" ht="60" customHeight="1" x14ac:dyDescent="0.3">
      <c r="A96" s="70" t="s">
        <v>130</v>
      </c>
      <c r="B96" s="70" t="s">
        <v>258</v>
      </c>
      <c r="C96" s="74" t="s">
        <v>224</v>
      </c>
      <c r="D96" s="74" t="s">
        <v>253</v>
      </c>
      <c r="E96" s="72" t="s">
        <v>126</v>
      </c>
      <c r="F96" s="72">
        <v>6</v>
      </c>
      <c r="G96" s="70">
        <v>14</v>
      </c>
      <c r="H96" s="72" t="s">
        <v>214</v>
      </c>
      <c r="I96" s="72" t="s">
        <v>227</v>
      </c>
      <c r="J96" s="72" t="s">
        <v>229</v>
      </c>
      <c r="K96" s="72" t="s">
        <v>226</v>
      </c>
      <c r="L96" s="70">
        <v>25</v>
      </c>
      <c r="M96" s="72" t="s">
        <v>121</v>
      </c>
      <c r="N96" s="72" t="s">
        <v>121</v>
      </c>
      <c r="O96" s="72" t="s">
        <v>121</v>
      </c>
      <c r="P96" s="72" t="s">
        <v>121</v>
      </c>
      <c r="Q96" s="76"/>
      <c r="R96" s="75">
        <v>20</v>
      </c>
      <c r="S96" s="75" t="s">
        <v>119</v>
      </c>
      <c r="T96" s="84">
        <v>78898.619000000006</v>
      </c>
      <c r="AD96" s="89">
        <f t="shared" si="5"/>
        <v>153.93804002589985</v>
      </c>
      <c r="AE96" s="90"/>
      <c r="AF96" s="91"/>
      <c r="AG96" s="91"/>
    </row>
    <row r="97" spans="1:33" s="89" customFormat="1" ht="60" customHeight="1" x14ac:dyDescent="0.3">
      <c r="A97" s="70" t="s">
        <v>130</v>
      </c>
      <c r="B97" s="70" t="s">
        <v>257</v>
      </c>
      <c r="C97" s="74" t="s">
        <v>253</v>
      </c>
      <c r="D97" s="74" t="s">
        <v>243</v>
      </c>
      <c r="E97" s="72" t="s">
        <v>126</v>
      </c>
      <c r="F97" s="72">
        <v>6</v>
      </c>
      <c r="G97" s="70">
        <v>14</v>
      </c>
      <c r="H97" s="72" t="s">
        <v>214</v>
      </c>
      <c r="I97" s="72" t="s">
        <v>227</v>
      </c>
      <c r="J97" s="72" t="s">
        <v>229</v>
      </c>
      <c r="K97" s="72" t="s">
        <v>226</v>
      </c>
      <c r="L97" s="70">
        <v>21</v>
      </c>
      <c r="M97" s="72" t="s">
        <v>121</v>
      </c>
      <c r="N97" s="72" t="s">
        <v>121</v>
      </c>
      <c r="O97" s="72" t="s">
        <v>121</v>
      </c>
      <c r="P97" s="72" t="s">
        <v>121</v>
      </c>
      <c r="Q97" s="76"/>
      <c r="R97" s="75">
        <v>20</v>
      </c>
      <c r="S97" s="75" t="s">
        <v>119</v>
      </c>
      <c r="T97" s="84">
        <v>78898.619000000006</v>
      </c>
      <c r="AD97" s="89">
        <f t="shared" si="5"/>
        <v>153.93804002589985</v>
      </c>
      <c r="AF97" s="91"/>
      <c r="AG97" s="91"/>
    </row>
    <row r="98" spans="1:33" s="89" customFormat="1" ht="60" customHeight="1" x14ac:dyDescent="0.3">
      <c r="A98" s="70" t="s">
        <v>130</v>
      </c>
      <c r="B98" s="70" t="s">
        <v>256</v>
      </c>
      <c r="C98" s="74" t="s">
        <v>243</v>
      </c>
      <c r="D98" s="74" t="s">
        <v>251</v>
      </c>
      <c r="E98" s="72" t="s">
        <v>126</v>
      </c>
      <c r="F98" s="72" t="s">
        <v>157</v>
      </c>
      <c r="G98" s="72" t="s">
        <v>157</v>
      </c>
      <c r="H98" s="72" t="s">
        <v>214</v>
      </c>
      <c r="I98" s="72" t="s">
        <v>227</v>
      </c>
      <c r="J98" s="72" t="s">
        <v>155</v>
      </c>
      <c r="K98" s="72" t="s">
        <v>226</v>
      </c>
      <c r="L98" s="70">
        <v>2</v>
      </c>
      <c r="M98" s="72" t="s">
        <v>121</v>
      </c>
      <c r="N98" s="72" t="s">
        <v>121</v>
      </c>
      <c r="O98" s="72" t="s">
        <v>121</v>
      </c>
      <c r="P98" s="72" t="s">
        <v>121</v>
      </c>
      <c r="Q98" s="76"/>
      <c r="R98" s="75" t="s">
        <v>152</v>
      </c>
      <c r="S98" s="75" t="s">
        <v>152</v>
      </c>
      <c r="T98" s="85" t="s">
        <v>217</v>
      </c>
      <c r="AD98" s="89" t="e">
        <f t="shared" si="5"/>
        <v>#VALUE!</v>
      </c>
      <c r="AE98" s="90"/>
      <c r="AF98" s="91"/>
      <c r="AG98" s="91"/>
    </row>
    <row r="99" spans="1:33" s="89" customFormat="1" ht="60" customHeight="1" x14ac:dyDescent="0.3">
      <c r="A99" s="70" t="s">
        <v>130</v>
      </c>
      <c r="B99" s="70" t="s">
        <v>255</v>
      </c>
      <c r="C99" s="74" t="s">
        <v>224</v>
      </c>
      <c r="D99" s="74" t="s">
        <v>253</v>
      </c>
      <c r="E99" s="72" t="s">
        <v>126</v>
      </c>
      <c r="F99" s="72">
        <v>1.5</v>
      </c>
      <c r="G99" s="72">
        <v>16.100000000000001</v>
      </c>
      <c r="H99" s="72" t="s">
        <v>223</v>
      </c>
      <c r="I99" s="72" t="s">
        <v>195</v>
      </c>
      <c r="J99" s="73" t="s">
        <v>194</v>
      </c>
      <c r="K99" s="72" t="s">
        <v>154</v>
      </c>
      <c r="L99" s="70">
        <v>25</v>
      </c>
      <c r="M99" s="72" t="s">
        <v>121</v>
      </c>
      <c r="N99" s="72" t="s">
        <v>121</v>
      </c>
      <c r="O99" s="72" t="s">
        <v>121</v>
      </c>
      <c r="P99" s="72" t="s">
        <v>121</v>
      </c>
      <c r="Q99" s="76"/>
      <c r="R99" s="75">
        <v>20</v>
      </c>
      <c r="S99" s="75" t="s">
        <v>119</v>
      </c>
      <c r="T99" s="84">
        <v>78898.619000000006</v>
      </c>
      <c r="AD99" s="89">
        <f t="shared" si="5"/>
        <v>203.58305793425259</v>
      </c>
      <c r="AF99" s="91"/>
      <c r="AG99" s="91"/>
    </row>
    <row r="100" spans="1:33" s="89" customFormat="1" ht="60" customHeight="1" x14ac:dyDescent="0.3">
      <c r="A100" s="70" t="s">
        <v>130</v>
      </c>
      <c r="B100" s="70" t="s">
        <v>254</v>
      </c>
      <c r="C100" s="74" t="s">
        <v>253</v>
      </c>
      <c r="D100" s="74" t="s">
        <v>243</v>
      </c>
      <c r="E100" s="72" t="s">
        <v>126</v>
      </c>
      <c r="F100" s="72">
        <v>1.5</v>
      </c>
      <c r="G100" s="72">
        <v>11.9</v>
      </c>
      <c r="H100" s="72" t="s">
        <v>196</v>
      </c>
      <c r="I100" s="72" t="s">
        <v>195</v>
      </c>
      <c r="J100" s="73" t="s">
        <v>194</v>
      </c>
      <c r="K100" s="72" t="s">
        <v>154</v>
      </c>
      <c r="L100" s="70">
        <v>21</v>
      </c>
      <c r="M100" s="72" t="s">
        <v>121</v>
      </c>
      <c r="N100" s="72" t="s">
        <v>121</v>
      </c>
      <c r="O100" s="72" t="s">
        <v>121</v>
      </c>
      <c r="P100" s="72" t="s">
        <v>121</v>
      </c>
      <c r="Q100" s="76"/>
      <c r="R100" s="75">
        <v>20</v>
      </c>
      <c r="S100" s="75" t="s">
        <v>119</v>
      </c>
      <c r="T100" s="84">
        <v>78898.619000000006</v>
      </c>
      <c r="AD100" s="89">
        <f t="shared" si="5"/>
        <v>111.22023391871267</v>
      </c>
      <c r="AE100" s="90"/>
      <c r="AF100" s="91"/>
      <c r="AG100" s="91"/>
    </row>
    <row r="101" spans="1:33" s="89" customFormat="1" ht="60" customHeight="1" x14ac:dyDescent="0.3">
      <c r="A101" s="70" t="s">
        <v>130</v>
      </c>
      <c r="B101" s="70" t="s">
        <v>252</v>
      </c>
      <c r="C101" s="74" t="s">
        <v>243</v>
      </c>
      <c r="D101" s="74" t="s">
        <v>251</v>
      </c>
      <c r="E101" s="72" t="s">
        <v>126</v>
      </c>
      <c r="F101" s="72" t="s">
        <v>157</v>
      </c>
      <c r="G101" s="72" t="s">
        <v>157</v>
      </c>
      <c r="H101" s="72" t="s">
        <v>196</v>
      </c>
      <c r="I101" s="72" t="s">
        <v>195</v>
      </c>
      <c r="J101" s="72" t="s">
        <v>155</v>
      </c>
      <c r="K101" s="72" t="s">
        <v>154</v>
      </c>
      <c r="L101" s="70">
        <v>2</v>
      </c>
      <c r="M101" s="72" t="s">
        <v>121</v>
      </c>
      <c r="N101" s="72" t="s">
        <v>121</v>
      </c>
      <c r="O101" s="72" t="s">
        <v>121</v>
      </c>
      <c r="P101" s="72" t="s">
        <v>121</v>
      </c>
      <c r="Q101" s="73"/>
      <c r="R101" s="75" t="s">
        <v>152</v>
      </c>
      <c r="S101" s="75" t="s">
        <v>152</v>
      </c>
      <c r="T101" s="85" t="s">
        <v>217</v>
      </c>
      <c r="AD101" s="89" t="e">
        <f t="shared" si="5"/>
        <v>#VALUE!</v>
      </c>
      <c r="AF101" s="91"/>
      <c r="AG101" s="91"/>
    </row>
    <row r="102" spans="1:33" s="89" customFormat="1" ht="60" customHeight="1" x14ac:dyDescent="0.3">
      <c r="A102" s="70" t="s">
        <v>130</v>
      </c>
      <c r="B102" s="70" t="s">
        <v>250</v>
      </c>
      <c r="C102" s="74" t="s">
        <v>224</v>
      </c>
      <c r="D102" s="74" t="s">
        <v>245</v>
      </c>
      <c r="E102" s="72" t="s">
        <v>126</v>
      </c>
      <c r="F102" s="72">
        <v>6</v>
      </c>
      <c r="G102" s="70">
        <v>14</v>
      </c>
      <c r="H102" s="72" t="s">
        <v>214</v>
      </c>
      <c r="I102" s="72" t="s">
        <v>227</v>
      </c>
      <c r="J102" s="72" t="s">
        <v>229</v>
      </c>
      <c r="K102" s="72" t="s">
        <v>226</v>
      </c>
      <c r="L102" s="70">
        <v>25</v>
      </c>
      <c r="M102" s="72" t="s">
        <v>121</v>
      </c>
      <c r="N102" s="72" t="s">
        <v>121</v>
      </c>
      <c r="O102" s="72" t="s">
        <v>121</v>
      </c>
      <c r="P102" s="72" t="s">
        <v>121</v>
      </c>
      <c r="Q102" s="76"/>
      <c r="R102" s="75">
        <v>20</v>
      </c>
      <c r="S102" s="75" t="s">
        <v>119</v>
      </c>
      <c r="T102" s="84">
        <v>78898.62</v>
      </c>
      <c r="AD102" s="89">
        <f t="shared" si="5"/>
        <v>153.93804002589985</v>
      </c>
      <c r="AE102" s="90"/>
      <c r="AF102" s="91"/>
      <c r="AG102" s="91"/>
    </row>
    <row r="103" spans="1:33" s="89" customFormat="1" ht="60" customHeight="1" x14ac:dyDescent="0.3">
      <c r="A103" s="70" t="s">
        <v>130</v>
      </c>
      <c r="B103" s="70" t="s">
        <v>249</v>
      </c>
      <c r="C103" s="74" t="s">
        <v>245</v>
      </c>
      <c r="D103" s="74" t="s">
        <v>243</v>
      </c>
      <c r="E103" s="72" t="s">
        <v>126</v>
      </c>
      <c r="F103" s="72">
        <v>6</v>
      </c>
      <c r="G103" s="70">
        <v>14</v>
      </c>
      <c r="H103" s="72" t="s">
        <v>214</v>
      </c>
      <c r="I103" s="72" t="s">
        <v>227</v>
      </c>
      <c r="J103" s="72" t="s">
        <v>229</v>
      </c>
      <c r="K103" s="72" t="s">
        <v>226</v>
      </c>
      <c r="L103" s="70">
        <v>21</v>
      </c>
      <c r="M103" s="72" t="s">
        <v>121</v>
      </c>
      <c r="N103" s="72" t="s">
        <v>121</v>
      </c>
      <c r="O103" s="72" t="s">
        <v>121</v>
      </c>
      <c r="P103" s="72" t="s">
        <v>121</v>
      </c>
      <c r="Q103" s="76"/>
      <c r="R103" s="75">
        <v>20</v>
      </c>
      <c r="S103" s="75" t="s">
        <v>119</v>
      </c>
      <c r="T103" s="84">
        <v>78898.619000000006</v>
      </c>
      <c r="AD103" s="89">
        <f t="shared" si="5"/>
        <v>153.93804002589985</v>
      </c>
      <c r="AF103" s="91"/>
      <c r="AG103" s="91"/>
    </row>
    <row r="104" spans="1:33" s="89" customFormat="1" ht="60" customHeight="1" x14ac:dyDescent="0.3">
      <c r="A104" s="70" t="s">
        <v>130</v>
      </c>
      <c r="B104" s="70" t="s">
        <v>248</v>
      </c>
      <c r="C104" s="74" t="s">
        <v>243</v>
      </c>
      <c r="D104" s="74" t="s">
        <v>242</v>
      </c>
      <c r="E104" s="72" t="s">
        <v>126</v>
      </c>
      <c r="F104" s="72" t="s">
        <v>157</v>
      </c>
      <c r="G104" s="72" t="s">
        <v>157</v>
      </c>
      <c r="H104" s="72" t="s">
        <v>214</v>
      </c>
      <c r="I104" s="72" t="s">
        <v>227</v>
      </c>
      <c r="J104" s="72" t="s">
        <v>155</v>
      </c>
      <c r="K104" s="72" t="s">
        <v>226</v>
      </c>
      <c r="L104" s="70">
        <v>2</v>
      </c>
      <c r="M104" s="72" t="s">
        <v>121</v>
      </c>
      <c r="N104" s="72" t="s">
        <v>121</v>
      </c>
      <c r="O104" s="72" t="s">
        <v>121</v>
      </c>
      <c r="P104" s="72" t="s">
        <v>121</v>
      </c>
      <c r="Q104" s="76"/>
      <c r="R104" s="75" t="s">
        <v>152</v>
      </c>
      <c r="S104" s="75" t="s">
        <v>152</v>
      </c>
      <c r="T104" s="85" t="s">
        <v>217</v>
      </c>
      <c r="AD104" s="89" t="e">
        <f t="shared" si="5"/>
        <v>#VALUE!</v>
      </c>
      <c r="AE104" s="90"/>
      <c r="AF104" s="91"/>
      <c r="AG104" s="91"/>
    </row>
    <row r="105" spans="1:33" s="89" customFormat="1" ht="60" customHeight="1" x14ac:dyDescent="0.3">
      <c r="A105" s="70" t="s">
        <v>130</v>
      </c>
      <c r="B105" s="70" t="s">
        <v>247</v>
      </c>
      <c r="C105" s="74" t="s">
        <v>224</v>
      </c>
      <c r="D105" s="74" t="s">
        <v>245</v>
      </c>
      <c r="E105" s="72" t="s">
        <v>126</v>
      </c>
      <c r="F105" s="72">
        <v>1.5</v>
      </c>
      <c r="G105" s="72">
        <v>16.100000000000001</v>
      </c>
      <c r="H105" s="72" t="s">
        <v>223</v>
      </c>
      <c r="I105" s="72" t="s">
        <v>195</v>
      </c>
      <c r="J105" s="73" t="s">
        <v>194</v>
      </c>
      <c r="K105" s="72" t="s">
        <v>154</v>
      </c>
      <c r="L105" s="70">
        <v>25</v>
      </c>
      <c r="M105" s="72" t="s">
        <v>121</v>
      </c>
      <c r="N105" s="72" t="s">
        <v>121</v>
      </c>
      <c r="O105" s="72" t="s">
        <v>121</v>
      </c>
      <c r="P105" s="72" t="s">
        <v>121</v>
      </c>
      <c r="Q105" s="76"/>
      <c r="R105" s="75">
        <v>20</v>
      </c>
      <c r="S105" s="75" t="s">
        <v>119</v>
      </c>
      <c r="T105" s="84">
        <v>78898.619000000006</v>
      </c>
      <c r="AD105" s="89">
        <f t="shared" si="5"/>
        <v>203.58305793425259</v>
      </c>
      <c r="AF105" s="91"/>
      <c r="AG105" s="91"/>
    </row>
    <row r="106" spans="1:33" s="89" customFormat="1" ht="60" customHeight="1" x14ac:dyDescent="0.3">
      <c r="A106" s="70" t="s">
        <v>130</v>
      </c>
      <c r="B106" s="70" t="s">
        <v>246</v>
      </c>
      <c r="C106" s="74" t="s">
        <v>245</v>
      </c>
      <c r="D106" s="74" t="s">
        <v>243</v>
      </c>
      <c r="E106" s="72" t="s">
        <v>126</v>
      </c>
      <c r="F106" s="72">
        <v>1.5</v>
      </c>
      <c r="G106" s="72">
        <v>11.9</v>
      </c>
      <c r="H106" s="72" t="s">
        <v>196</v>
      </c>
      <c r="I106" s="72" t="s">
        <v>195</v>
      </c>
      <c r="J106" s="73" t="s">
        <v>194</v>
      </c>
      <c r="K106" s="72" t="s">
        <v>154</v>
      </c>
      <c r="L106" s="70">
        <v>21</v>
      </c>
      <c r="M106" s="72" t="s">
        <v>121</v>
      </c>
      <c r="N106" s="72" t="s">
        <v>121</v>
      </c>
      <c r="O106" s="72" t="s">
        <v>121</v>
      </c>
      <c r="P106" s="72" t="s">
        <v>121</v>
      </c>
      <c r="Q106" s="76"/>
      <c r="R106" s="75">
        <v>20</v>
      </c>
      <c r="S106" s="75" t="s">
        <v>119</v>
      </c>
      <c r="T106" s="84">
        <v>78898.619000000006</v>
      </c>
      <c r="AD106" s="89">
        <f t="shared" si="5"/>
        <v>111.22023391871267</v>
      </c>
      <c r="AE106" s="90"/>
      <c r="AF106" s="91"/>
      <c r="AG106" s="91"/>
    </row>
    <row r="107" spans="1:33" s="89" customFormat="1" ht="60" customHeight="1" x14ac:dyDescent="0.3">
      <c r="A107" s="70" t="s">
        <v>130</v>
      </c>
      <c r="B107" s="70" t="s">
        <v>244</v>
      </c>
      <c r="C107" s="74" t="s">
        <v>243</v>
      </c>
      <c r="D107" s="74" t="s">
        <v>242</v>
      </c>
      <c r="E107" s="72" t="s">
        <v>126</v>
      </c>
      <c r="F107" s="72" t="s">
        <v>157</v>
      </c>
      <c r="G107" s="72" t="s">
        <v>157</v>
      </c>
      <c r="H107" s="72" t="s">
        <v>196</v>
      </c>
      <c r="I107" s="72" t="s">
        <v>195</v>
      </c>
      <c r="J107" s="72" t="s">
        <v>155</v>
      </c>
      <c r="K107" s="72" t="s">
        <v>154</v>
      </c>
      <c r="L107" s="70">
        <v>2</v>
      </c>
      <c r="M107" s="72" t="s">
        <v>121</v>
      </c>
      <c r="N107" s="72" t="s">
        <v>121</v>
      </c>
      <c r="O107" s="72" t="s">
        <v>121</v>
      </c>
      <c r="P107" s="72" t="s">
        <v>121</v>
      </c>
      <c r="Q107" s="73"/>
      <c r="R107" s="75" t="s">
        <v>152</v>
      </c>
      <c r="S107" s="75" t="s">
        <v>152</v>
      </c>
      <c r="T107" s="85" t="s">
        <v>217</v>
      </c>
      <c r="AD107" s="89" t="e">
        <f t="shared" si="5"/>
        <v>#VALUE!</v>
      </c>
      <c r="AF107" s="91"/>
      <c r="AG107" s="91"/>
    </row>
    <row r="108" spans="1:33" s="66" customFormat="1" ht="60" customHeight="1" x14ac:dyDescent="0.3">
      <c r="A108" s="70" t="s">
        <v>130</v>
      </c>
      <c r="B108" s="70" t="s">
        <v>241</v>
      </c>
      <c r="C108" s="74" t="s">
        <v>164</v>
      </c>
      <c r="D108" s="74" t="s">
        <v>240</v>
      </c>
      <c r="E108" s="72" t="s">
        <v>126</v>
      </c>
      <c r="F108" s="72">
        <v>1.5</v>
      </c>
      <c r="G108" s="72">
        <v>10.4</v>
      </c>
      <c r="H108" s="72" t="s">
        <v>214</v>
      </c>
      <c r="I108" s="72" t="s">
        <v>195</v>
      </c>
      <c r="J108" s="73" t="s">
        <v>194</v>
      </c>
      <c r="K108" s="72" t="s">
        <v>154</v>
      </c>
      <c r="L108" s="70">
        <v>30</v>
      </c>
      <c r="M108" s="72" t="s">
        <v>121</v>
      </c>
      <c r="N108" s="72" t="s">
        <v>121</v>
      </c>
      <c r="O108" s="72" t="s">
        <v>121</v>
      </c>
      <c r="P108" s="72" t="s">
        <v>121</v>
      </c>
      <c r="Q108" s="72"/>
      <c r="R108" s="75">
        <v>20</v>
      </c>
      <c r="S108" s="75" t="s">
        <v>119</v>
      </c>
      <c r="T108" s="84">
        <v>78898.952999999994</v>
      </c>
      <c r="AD108" s="89">
        <f>IF(PI()*(G108/2)^2=0,"",PI()*(G108/2)^2)</f>
        <v>84.948665353068009</v>
      </c>
    </row>
    <row r="109" spans="1:33" s="89" customFormat="1" ht="60" customHeight="1" x14ac:dyDescent="0.3">
      <c r="A109" s="70" t="s">
        <v>130</v>
      </c>
      <c r="B109" s="70" t="s">
        <v>239</v>
      </c>
      <c r="C109" s="74" t="s">
        <v>224</v>
      </c>
      <c r="D109" s="74" t="s">
        <v>234</v>
      </c>
      <c r="E109" s="72" t="s">
        <v>126</v>
      </c>
      <c r="F109" s="72">
        <v>6</v>
      </c>
      <c r="G109" s="70">
        <v>14</v>
      </c>
      <c r="H109" s="72" t="s">
        <v>214</v>
      </c>
      <c r="I109" s="72" t="s">
        <v>227</v>
      </c>
      <c r="J109" s="72" t="s">
        <v>229</v>
      </c>
      <c r="K109" s="72" t="s">
        <v>226</v>
      </c>
      <c r="L109" s="70">
        <v>25</v>
      </c>
      <c r="M109" s="72" t="s">
        <v>121</v>
      </c>
      <c r="N109" s="72" t="s">
        <v>121</v>
      </c>
      <c r="O109" s="72" t="s">
        <v>121</v>
      </c>
      <c r="P109" s="72" t="s">
        <v>121</v>
      </c>
      <c r="Q109" s="76"/>
      <c r="R109" s="75">
        <v>20</v>
      </c>
      <c r="S109" s="75" t="s">
        <v>119</v>
      </c>
      <c r="T109" s="84">
        <v>78898.620999999999</v>
      </c>
      <c r="AD109" s="89">
        <f t="shared" si="5"/>
        <v>153.93804002589985</v>
      </c>
      <c r="AE109" s="90"/>
      <c r="AF109" s="91"/>
      <c r="AG109" s="91"/>
    </row>
    <row r="110" spans="1:33" s="89" customFormat="1" ht="60" customHeight="1" x14ac:dyDescent="0.3">
      <c r="A110" s="70" t="s">
        <v>130</v>
      </c>
      <c r="B110" s="70" t="s">
        <v>238</v>
      </c>
      <c r="C110" s="74" t="s">
        <v>234</v>
      </c>
      <c r="D110" s="74" t="s">
        <v>219</v>
      </c>
      <c r="E110" s="72" t="s">
        <v>126</v>
      </c>
      <c r="F110" s="72">
        <v>6</v>
      </c>
      <c r="G110" s="70">
        <v>14</v>
      </c>
      <c r="H110" s="72" t="s">
        <v>214</v>
      </c>
      <c r="I110" s="72" t="s">
        <v>227</v>
      </c>
      <c r="J110" s="72" t="s">
        <v>229</v>
      </c>
      <c r="K110" s="72" t="s">
        <v>226</v>
      </c>
      <c r="L110" s="70">
        <v>15</v>
      </c>
      <c r="M110" s="72" t="s">
        <v>121</v>
      </c>
      <c r="N110" s="72" t="s">
        <v>121</v>
      </c>
      <c r="O110" s="72" t="s">
        <v>121</v>
      </c>
      <c r="P110" s="72" t="s">
        <v>121</v>
      </c>
      <c r="Q110" s="76"/>
      <c r="R110" s="75">
        <v>20</v>
      </c>
      <c r="S110" s="75" t="s">
        <v>119</v>
      </c>
      <c r="T110" s="84">
        <v>78898.620999999999</v>
      </c>
      <c r="AD110" s="89">
        <f t="shared" si="5"/>
        <v>153.93804002589985</v>
      </c>
      <c r="AF110" s="91"/>
      <c r="AG110" s="91"/>
    </row>
    <row r="111" spans="1:33" s="89" customFormat="1" ht="60" customHeight="1" x14ac:dyDescent="0.3">
      <c r="A111" s="70" t="s">
        <v>130</v>
      </c>
      <c r="B111" s="70" t="s">
        <v>237</v>
      </c>
      <c r="C111" s="74" t="s">
        <v>219</v>
      </c>
      <c r="D111" s="74" t="s">
        <v>232</v>
      </c>
      <c r="E111" s="72" t="s">
        <v>126</v>
      </c>
      <c r="F111" s="72" t="s">
        <v>157</v>
      </c>
      <c r="G111" s="72" t="s">
        <v>157</v>
      </c>
      <c r="H111" s="72" t="s">
        <v>214</v>
      </c>
      <c r="I111" s="72" t="s">
        <v>227</v>
      </c>
      <c r="J111" s="72" t="s">
        <v>155</v>
      </c>
      <c r="K111" s="72" t="s">
        <v>226</v>
      </c>
      <c r="L111" s="70">
        <v>2</v>
      </c>
      <c r="M111" s="72" t="s">
        <v>121</v>
      </c>
      <c r="N111" s="72" t="s">
        <v>121</v>
      </c>
      <c r="O111" s="72" t="s">
        <v>121</v>
      </c>
      <c r="P111" s="72" t="s">
        <v>121</v>
      </c>
      <c r="Q111" s="76"/>
      <c r="R111" s="75" t="s">
        <v>152</v>
      </c>
      <c r="S111" s="75" t="s">
        <v>152</v>
      </c>
      <c r="T111" s="85" t="s">
        <v>217</v>
      </c>
      <c r="AD111" s="89" t="e">
        <f t="shared" si="5"/>
        <v>#VALUE!</v>
      </c>
      <c r="AE111" s="90"/>
      <c r="AF111" s="91"/>
      <c r="AG111" s="91"/>
    </row>
    <row r="112" spans="1:33" s="89" customFormat="1" ht="60" customHeight="1" x14ac:dyDescent="0.3">
      <c r="A112" s="70" t="s">
        <v>130</v>
      </c>
      <c r="B112" s="70" t="s">
        <v>236</v>
      </c>
      <c r="C112" s="74" t="s">
        <v>224</v>
      </c>
      <c r="D112" s="74" t="s">
        <v>234</v>
      </c>
      <c r="E112" s="72" t="s">
        <v>126</v>
      </c>
      <c r="F112" s="72">
        <v>1.5</v>
      </c>
      <c r="G112" s="72">
        <v>16.100000000000001</v>
      </c>
      <c r="H112" s="72" t="s">
        <v>223</v>
      </c>
      <c r="I112" s="72" t="s">
        <v>195</v>
      </c>
      <c r="J112" s="73" t="s">
        <v>194</v>
      </c>
      <c r="K112" s="72" t="s">
        <v>154</v>
      </c>
      <c r="L112" s="70">
        <v>25</v>
      </c>
      <c r="M112" s="72" t="s">
        <v>121</v>
      </c>
      <c r="N112" s="72" t="s">
        <v>121</v>
      </c>
      <c r="O112" s="72" t="s">
        <v>121</v>
      </c>
      <c r="P112" s="72" t="s">
        <v>121</v>
      </c>
      <c r="Q112" s="76"/>
      <c r="R112" s="75">
        <v>20</v>
      </c>
      <c r="S112" s="75" t="s">
        <v>119</v>
      </c>
      <c r="T112" s="84">
        <v>78898.620999999999</v>
      </c>
      <c r="AD112" s="89">
        <f t="shared" si="5"/>
        <v>203.58305793425259</v>
      </c>
      <c r="AF112" s="91"/>
      <c r="AG112" s="91"/>
    </row>
    <row r="113" spans="1:33" s="89" customFormat="1" ht="60" customHeight="1" x14ac:dyDescent="0.3">
      <c r="A113" s="70" t="s">
        <v>130</v>
      </c>
      <c r="B113" s="70" t="s">
        <v>235</v>
      </c>
      <c r="C113" s="74" t="s">
        <v>234</v>
      </c>
      <c r="D113" s="74" t="s">
        <v>219</v>
      </c>
      <c r="E113" s="72" t="s">
        <v>126</v>
      </c>
      <c r="F113" s="72">
        <v>1.5</v>
      </c>
      <c r="G113" s="72">
        <v>11.9</v>
      </c>
      <c r="H113" s="72" t="s">
        <v>196</v>
      </c>
      <c r="I113" s="72" t="s">
        <v>195</v>
      </c>
      <c r="J113" s="73" t="s">
        <v>194</v>
      </c>
      <c r="K113" s="72" t="s">
        <v>154</v>
      </c>
      <c r="L113" s="70">
        <v>15</v>
      </c>
      <c r="M113" s="72" t="s">
        <v>121</v>
      </c>
      <c r="N113" s="72" t="s">
        <v>121</v>
      </c>
      <c r="O113" s="72" t="s">
        <v>121</v>
      </c>
      <c r="P113" s="72" t="s">
        <v>121</v>
      </c>
      <c r="Q113" s="76"/>
      <c r="R113" s="75">
        <v>20</v>
      </c>
      <c r="S113" s="75" t="s">
        <v>119</v>
      </c>
      <c r="T113" s="84">
        <v>78898.620999999999</v>
      </c>
      <c r="AD113" s="89">
        <f t="shared" si="5"/>
        <v>111.22023391871267</v>
      </c>
      <c r="AE113" s="90"/>
      <c r="AF113" s="91"/>
      <c r="AG113" s="91"/>
    </row>
    <row r="114" spans="1:33" s="89" customFormat="1" ht="60" customHeight="1" x14ac:dyDescent="0.3">
      <c r="A114" s="70" t="s">
        <v>130</v>
      </c>
      <c r="B114" s="70" t="s">
        <v>233</v>
      </c>
      <c r="C114" s="74" t="s">
        <v>219</v>
      </c>
      <c r="D114" s="74" t="s">
        <v>232</v>
      </c>
      <c r="E114" s="72" t="s">
        <v>126</v>
      </c>
      <c r="F114" s="72" t="s">
        <v>157</v>
      </c>
      <c r="G114" s="72" t="s">
        <v>157</v>
      </c>
      <c r="H114" s="72" t="s">
        <v>196</v>
      </c>
      <c r="I114" s="72" t="s">
        <v>195</v>
      </c>
      <c r="J114" s="72" t="s">
        <v>155</v>
      </c>
      <c r="K114" s="72" t="s">
        <v>154</v>
      </c>
      <c r="L114" s="70">
        <v>2</v>
      </c>
      <c r="M114" s="72" t="s">
        <v>121</v>
      </c>
      <c r="N114" s="72" t="s">
        <v>121</v>
      </c>
      <c r="O114" s="72" t="s">
        <v>121</v>
      </c>
      <c r="P114" s="72" t="s">
        <v>121</v>
      </c>
      <c r="Q114" s="73"/>
      <c r="R114" s="75" t="s">
        <v>152</v>
      </c>
      <c r="S114" s="75" t="s">
        <v>152</v>
      </c>
      <c r="T114" s="85" t="s">
        <v>217</v>
      </c>
      <c r="AD114" s="89" t="e">
        <f t="shared" si="5"/>
        <v>#VALUE!</v>
      </c>
      <c r="AF114" s="91"/>
      <c r="AG114" s="91"/>
    </row>
    <row r="115" spans="1:33" s="89" customFormat="1" ht="60" customHeight="1" x14ac:dyDescent="0.3">
      <c r="A115" s="70" t="s">
        <v>130</v>
      </c>
      <c r="B115" s="70" t="s">
        <v>231</v>
      </c>
      <c r="C115" s="74" t="s">
        <v>224</v>
      </c>
      <c r="D115" s="74" t="s">
        <v>221</v>
      </c>
      <c r="E115" s="72" t="s">
        <v>126</v>
      </c>
      <c r="F115" s="72">
        <v>6</v>
      </c>
      <c r="G115" s="70">
        <v>14</v>
      </c>
      <c r="H115" s="72" t="s">
        <v>214</v>
      </c>
      <c r="I115" s="72" t="s">
        <v>227</v>
      </c>
      <c r="J115" s="72" t="s">
        <v>229</v>
      </c>
      <c r="K115" s="72" t="s">
        <v>226</v>
      </c>
      <c r="L115" s="70">
        <v>25</v>
      </c>
      <c r="M115" s="72" t="s">
        <v>121</v>
      </c>
      <c r="N115" s="72" t="s">
        <v>121</v>
      </c>
      <c r="O115" s="72" t="s">
        <v>121</v>
      </c>
      <c r="P115" s="72" t="s">
        <v>121</v>
      </c>
      <c r="Q115" s="76"/>
      <c r="R115" s="75">
        <v>20</v>
      </c>
      <c r="S115" s="75" t="s">
        <v>119</v>
      </c>
      <c r="T115" s="84">
        <v>78898.622000000003</v>
      </c>
      <c r="AD115" s="89">
        <f t="shared" si="5"/>
        <v>153.93804002589985</v>
      </c>
      <c r="AE115" s="90"/>
      <c r="AF115" s="91"/>
      <c r="AG115" s="91"/>
    </row>
    <row r="116" spans="1:33" s="89" customFormat="1" ht="60" customHeight="1" x14ac:dyDescent="0.3">
      <c r="A116" s="70" t="s">
        <v>130</v>
      </c>
      <c r="B116" s="70" t="s">
        <v>230</v>
      </c>
      <c r="C116" s="74" t="s">
        <v>221</v>
      </c>
      <c r="D116" s="74" t="s">
        <v>219</v>
      </c>
      <c r="E116" s="72" t="s">
        <v>126</v>
      </c>
      <c r="F116" s="72">
        <v>6</v>
      </c>
      <c r="G116" s="70">
        <v>14</v>
      </c>
      <c r="H116" s="72" t="s">
        <v>214</v>
      </c>
      <c r="I116" s="72" t="s">
        <v>227</v>
      </c>
      <c r="J116" s="72" t="s">
        <v>229</v>
      </c>
      <c r="K116" s="72" t="s">
        <v>226</v>
      </c>
      <c r="L116" s="70">
        <v>15</v>
      </c>
      <c r="M116" s="72" t="s">
        <v>121</v>
      </c>
      <c r="N116" s="72" t="s">
        <v>121</v>
      </c>
      <c r="O116" s="72" t="s">
        <v>121</v>
      </c>
      <c r="P116" s="72" t="s">
        <v>121</v>
      </c>
      <c r="Q116" s="76"/>
      <c r="R116" s="75">
        <v>20</v>
      </c>
      <c r="S116" s="75" t="s">
        <v>119</v>
      </c>
      <c r="T116" s="84">
        <v>78898.622000000003</v>
      </c>
      <c r="AD116" s="89">
        <f t="shared" si="5"/>
        <v>153.93804002589985</v>
      </c>
      <c r="AF116" s="91"/>
      <c r="AG116" s="91"/>
    </row>
    <row r="117" spans="1:33" s="89" customFormat="1" ht="60" customHeight="1" x14ac:dyDescent="0.3">
      <c r="A117" s="70" t="s">
        <v>130</v>
      </c>
      <c r="B117" s="70" t="s">
        <v>228</v>
      </c>
      <c r="C117" s="74" t="s">
        <v>219</v>
      </c>
      <c r="D117" s="74" t="s">
        <v>218</v>
      </c>
      <c r="E117" s="72" t="s">
        <v>126</v>
      </c>
      <c r="F117" s="72" t="s">
        <v>157</v>
      </c>
      <c r="G117" s="72" t="s">
        <v>157</v>
      </c>
      <c r="H117" s="72" t="s">
        <v>214</v>
      </c>
      <c r="I117" s="72" t="s">
        <v>227</v>
      </c>
      <c r="J117" s="72" t="s">
        <v>155</v>
      </c>
      <c r="K117" s="72" t="s">
        <v>226</v>
      </c>
      <c r="L117" s="70">
        <v>2</v>
      </c>
      <c r="M117" s="72" t="s">
        <v>121</v>
      </c>
      <c r="N117" s="72" t="s">
        <v>121</v>
      </c>
      <c r="O117" s="72" t="s">
        <v>121</v>
      </c>
      <c r="P117" s="72" t="s">
        <v>121</v>
      </c>
      <c r="Q117" s="76"/>
      <c r="R117" s="75" t="s">
        <v>152</v>
      </c>
      <c r="S117" s="75" t="s">
        <v>152</v>
      </c>
      <c r="T117" s="85" t="s">
        <v>217</v>
      </c>
      <c r="AD117" s="89" t="e">
        <f t="shared" si="5"/>
        <v>#VALUE!</v>
      </c>
      <c r="AE117" s="90"/>
      <c r="AF117" s="91"/>
      <c r="AG117" s="91"/>
    </row>
    <row r="118" spans="1:33" s="89" customFormat="1" ht="60" customHeight="1" x14ac:dyDescent="0.3">
      <c r="A118" s="70" t="s">
        <v>130</v>
      </c>
      <c r="B118" s="70" t="s">
        <v>225</v>
      </c>
      <c r="C118" s="74" t="s">
        <v>224</v>
      </c>
      <c r="D118" s="74" t="s">
        <v>221</v>
      </c>
      <c r="E118" s="72" t="s">
        <v>126</v>
      </c>
      <c r="F118" s="72">
        <v>1.5</v>
      </c>
      <c r="G118" s="72">
        <v>16.100000000000001</v>
      </c>
      <c r="H118" s="72" t="s">
        <v>223</v>
      </c>
      <c r="I118" s="72" t="s">
        <v>195</v>
      </c>
      <c r="J118" s="73" t="s">
        <v>194</v>
      </c>
      <c r="K118" s="72" t="s">
        <v>154</v>
      </c>
      <c r="L118" s="70">
        <v>25</v>
      </c>
      <c r="M118" s="72" t="s">
        <v>121</v>
      </c>
      <c r="N118" s="72" t="s">
        <v>121</v>
      </c>
      <c r="O118" s="72" t="s">
        <v>121</v>
      </c>
      <c r="P118" s="72" t="s">
        <v>121</v>
      </c>
      <c r="Q118" s="76"/>
      <c r="R118" s="75">
        <v>20</v>
      </c>
      <c r="S118" s="75" t="s">
        <v>119</v>
      </c>
      <c r="T118" s="84">
        <v>78898.622000000003</v>
      </c>
      <c r="AD118" s="89">
        <f t="shared" si="5"/>
        <v>203.58305793425259</v>
      </c>
      <c r="AF118" s="91"/>
      <c r="AG118" s="91"/>
    </row>
    <row r="119" spans="1:33" s="89" customFormat="1" ht="60" customHeight="1" x14ac:dyDescent="0.3">
      <c r="A119" s="70" t="s">
        <v>130</v>
      </c>
      <c r="B119" s="70" t="s">
        <v>222</v>
      </c>
      <c r="C119" s="74" t="s">
        <v>221</v>
      </c>
      <c r="D119" s="74" t="s">
        <v>219</v>
      </c>
      <c r="E119" s="72" t="s">
        <v>126</v>
      </c>
      <c r="F119" s="72">
        <v>1.5</v>
      </c>
      <c r="G119" s="72">
        <v>11.9</v>
      </c>
      <c r="H119" s="72" t="s">
        <v>196</v>
      </c>
      <c r="I119" s="72" t="s">
        <v>195</v>
      </c>
      <c r="J119" s="73" t="s">
        <v>194</v>
      </c>
      <c r="K119" s="72" t="s">
        <v>154</v>
      </c>
      <c r="L119" s="70">
        <v>15</v>
      </c>
      <c r="M119" s="72" t="s">
        <v>121</v>
      </c>
      <c r="N119" s="72" t="s">
        <v>121</v>
      </c>
      <c r="O119" s="72" t="s">
        <v>121</v>
      </c>
      <c r="P119" s="72" t="s">
        <v>121</v>
      </c>
      <c r="Q119" s="76"/>
      <c r="R119" s="75">
        <v>20</v>
      </c>
      <c r="S119" s="75" t="s">
        <v>119</v>
      </c>
      <c r="T119" s="84">
        <v>78898.622000000003</v>
      </c>
      <c r="AD119" s="89">
        <f t="shared" si="5"/>
        <v>111.22023391871267</v>
      </c>
      <c r="AE119" s="90"/>
      <c r="AF119" s="91"/>
      <c r="AG119" s="91"/>
    </row>
    <row r="120" spans="1:33" s="89" customFormat="1" ht="60" customHeight="1" x14ac:dyDescent="0.3">
      <c r="A120" s="70" t="s">
        <v>130</v>
      </c>
      <c r="B120" s="70" t="s">
        <v>220</v>
      </c>
      <c r="C120" s="74" t="s">
        <v>219</v>
      </c>
      <c r="D120" s="74" t="s">
        <v>218</v>
      </c>
      <c r="E120" s="72" t="s">
        <v>126</v>
      </c>
      <c r="F120" s="72" t="s">
        <v>157</v>
      </c>
      <c r="G120" s="72" t="s">
        <v>157</v>
      </c>
      <c r="H120" s="72" t="s">
        <v>196</v>
      </c>
      <c r="I120" s="72" t="s">
        <v>195</v>
      </c>
      <c r="J120" s="72" t="s">
        <v>155</v>
      </c>
      <c r="K120" s="72" t="s">
        <v>154</v>
      </c>
      <c r="L120" s="70">
        <v>2</v>
      </c>
      <c r="M120" s="72" t="s">
        <v>121</v>
      </c>
      <c r="N120" s="72" t="s">
        <v>121</v>
      </c>
      <c r="O120" s="72" t="s">
        <v>121</v>
      </c>
      <c r="P120" s="72" t="s">
        <v>121</v>
      </c>
      <c r="Q120" s="73"/>
      <c r="R120" s="75" t="s">
        <v>152</v>
      </c>
      <c r="S120" s="75" t="s">
        <v>152</v>
      </c>
      <c r="T120" s="85" t="s">
        <v>217</v>
      </c>
      <c r="AD120" s="89" t="e">
        <f t="shared" si="5"/>
        <v>#VALUE!</v>
      </c>
      <c r="AF120" s="91"/>
      <c r="AG120" s="91"/>
    </row>
    <row r="121" spans="1:33" s="66" customFormat="1" ht="60" customHeight="1" x14ac:dyDescent="0.3">
      <c r="A121" s="70" t="s">
        <v>130</v>
      </c>
      <c r="B121" s="70" t="s">
        <v>216</v>
      </c>
      <c r="C121" s="74" t="s">
        <v>164</v>
      </c>
      <c r="D121" s="74" t="s">
        <v>215</v>
      </c>
      <c r="E121" s="72" t="s">
        <v>126</v>
      </c>
      <c r="F121" s="72">
        <v>1.5</v>
      </c>
      <c r="G121" s="72">
        <v>10.4</v>
      </c>
      <c r="H121" s="72" t="s">
        <v>214</v>
      </c>
      <c r="I121" s="72" t="s">
        <v>195</v>
      </c>
      <c r="J121" s="73" t="s">
        <v>194</v>
      </c>
      <c r="K121" s="72" t="s">
        <v>154</v>
      </c>
      <c r="L121" s="70">
        <v>30</v>
      </c>
      <c r="M121" s="72" t="s">
        <v>121</v>
      </c>
      <c r="N121" s="72" t="s">
        <v>121</v>
      </c>
      <c r="O121" s="72" t="s">
        <v>121</v>
      </c>
      <c r="P121" s="72" t="s">
        <v>121</v>
      </c>
      <c r="Q121" s="72"/>
      <c r="R121" s="75">
        <v>20</v>
      </c>
      <c r="S121" s="75" t="s">
        <v>119</v>
      </c>
      <c r="T121" s="84">
        <v>78898.952999999994</v>
      </c>
      <c r="AD121" s="89">
        <f>IF(PI()*(G121/2)^2=0,"",PI()*(G121/2)^2)</f>
        <v>84.948665353068009</v>
      </c>
    </row>
    <row r="122" spans="1:33" s="89" customFormat="1" ht="60" customHeight="1" x14ac:dyDescent="0.3">
      <c r="A122" s="70" t="s">
        <v>130</v>
      </c>
      <c r="B122" s="80" t="s">
        <v>213</v>
      </c>
      <c r="C122" s="74" t="s">
        <v>198</v>
      </c>
      <c r="D122" s="82" t="s">
        <v>197</v>
      </c>
      <c r="E122" s="75" t="s">
        <v>126</v>
      </c>
      <c r="F122" s="75">
        <v>1.5</v>
      </c>
      <c r="G122" s="75">
        <v>11.9</v>
      </c>
      <c r="H122" s="75" t="s">
        <v>196</v>
      </c>
      <c r="I122" s="75" t="s">
        <v>195</v>
      </c>
      <c r="J122" s="81" t="s">
        <v>194</v>
      </c>
      <c r="K122" s="75" t="s">
        <v>154</v>
      </c>
      <c r="L122" s="80">
        <v>15</v>
      </c>
      <c r="M122" s="75" t="s">
        <v>121</v>
      </c>
      <c r="N122" s="75" t="s">
        <v>121</v>
      </c>
      <c r="O122" s="75" t="s">
        <v>121</v>
      </c>
      <c r="P122" s="75" t="s">
        <v>121</v>
      </c>
      <c r="Q122" s="81" t="s">
        <v>212</v>
      </c>
      <c r="R122" s="75">
        <v>20</v>
      </c>
      <c r="S122" s="75" t="s">
        <v>119</v>
      </c>
      <c r="T122" s="84">
        <v>78898.615000000005</v>
      </c>
      <c r="AD122" s="89">
        <f t="shared" si="5"/>
        <v>111.22023391871267</v>
      </c>
      <c r="AF122" s="91"/>
    </row>
    <row r="123" spans="1:33" s="89" customFormat="1" ht="60" customHeight="1" x14ac:dyDescent="0.3">
      <c r="A123" s="70" t="s">
        <v>130</v>
      </c>
      <c r="B123" s="80" t="s">
        <v>211</v>
      </c>
      <c r="C123" s="74" t="s">
        <v>198</v>
      </c>
      <c r="D123" s="82" t="s">
        <v>197</v>
      </c>
      <c r="E123" s="75" t="s">
        <v>126</v>
      </c>
      <c r="F123" s="75">
        <v>1.5</v>
      </c>
      <c r="G123" s="75">
        <v>11.9</v>
      </c>
      <c r="H123" s="75" t="s">
        <v>196</v>
      </c>
      <c r="I123" s="75" t="s">
        <v>195</v>
      </c>
      <c r="J123" s="81" t="s">
        <v>194</v>
      </c>
      <c r="K123" s="75" t="s">
        <v>154</v>
      </c>
      <c r="L123" s="80">
        <v>15</v>
      </c>
      <c r="M123" s="75" t="s">
        <v>121</v>
      </c>
      <c r="N123" s="75" t="s">
        <v>121</v>
      </c>
      <c r="O123" s="75" t="s">
        <v>121</v>
      </c>
      <c r="P123" s="75" t="s">
        <v>121</v>
      </c>
      <c r="Q123" s="81" t="s">
        <v>210</v>
      </c>
      <c r="R123" s="75">
        <v>20</v>
      </c>
      <c r="S123" s="75" t="s">
        <v>119</v>
      </c>
      <c r="T123" s="84">
        <v>78898.615999999995</v>
      </c>
      <c r="AD123" s="89">
        <f t="shared" si="5"/>
        <v>111.22023391871267</v>
      </c>
      <c r="AF123" s="91"/>
    </row>
    <row r="124" spans="1:33" s="89" customFormat="1" ht="60" customHeight="1" x14ac:dyDescent="0.3">
      <c r="A124" s="70" t="s">
        <v>130</v>
      </c>
      <c r="B124" s="80" t="s">
        <v>209</v>
      </c>
      <c r="C124" s="74" t="s">
        <v>198</v>
      </c>
      <c r="D124" s="82" t="s">
        <v>197</v>
      </c>
      <c r="E124" s="75" t="s">
        <v>126</v>
      </c>
      <c r="F124" s="75">
        <v>1.5</v>
      </c>
      <c r="G124" s="75">
        <v>11.9</v>
      </c>
      <c r="H124" s="75" t="s">
        <v>196</v>
      </c>
      <c r="I124" s="75" t="s">
        <v>195</v>
      </c>
      <c r="J124" s="81" t="s">
        <v>194</v>
      </c>
      <c r="K124" s="75" t="s">
        <v>154</v>
      </c>
      <c r="L124" s="80">
        <v>15</v>
      </c>
      <c r="M124" s="75" t="s">
        <v>121</v>
      </c>
      <c r="N124" s="75" t="s">
        <v>121</v>
      </c>
      <c r="O124" s="75" t="s">
        <v>121</v>
      </c>
      <c r="P124" s="75" t="s">
        <v>121</v>
      </c>
      <c r="Q124" s="81" t="s">
        <v>208</v>
      </c>
      <c r="R124" s="75">
        <v>20</v>
      </c>
      <c r="S124" s="75" t="s">
        <v>119</v>
      </c>
      <c r="T124" s="84">
        <v>78898.616999999998</v>
      </c>
      <c r="AD124" s="89">
        <f t="shared" si="5"/>
        <v>111.22023391871267</v>
      </c>
      <c r="AF124" s="91"/>
    </row>
    <row r="125" spans="1:33" s="89" customFormat="1" ht="60" customHeight="1" x14ac:dyDescent="0.3">
      <c r="A125" s="70" t="s">
        <v>130</v>
      </c>
      <c r="B125" s="80" t="s">
        <v>207</v>
      </c>
      <c r="C125" s="74" t="s">
        <v>198</v>
      </c>
      <c r="D125" s="82" t="s">
        <v>197</v>
      </c>
      <c r="E125" s="75" t="s">
        <v>126</v>
      </c>
      <c r="F125" s="75">
        <v>1.5</v>
      </c>
      <c r="G125" s="75">
        <v>11.9</v>
      </c>
      <c r="H125" s="75" t="s">
        <v>196</v>
      </c>
      <c r="I125" s="75" t="s">
        <v>195</v>
      </c>
      <c r="J125" s="81" t="s">
        <v>194</v>
      </c>
      <c r="K125" s="75" t="s">
        <v>154</v>
      </c>
      <c r="L125" s="80">
        <v>15</v>
      </c>
      <c r="M125" s="75" t="s">
        <v>121</v>
      </c>
      <c r="N125" s="75" t="s">
        <v>121</v>
      </c>
      <c r="O125" s="75" t="s">
        <v>121</v>
      </c>
      <c r="P125" s="75" t="s">
        <v>121</v>
      </c>
      <c r="Q125" s="81" t="s">
        <v>206</v>
      </c>
      <c r="R125" s="75">
        <v>20</v>
      </c>
      <c r="S125" s="75" t="s">
        <v>119</v>
      </c>
      <c r="T125" s="84">
        <v>78898.618000000002</v>
      </c>
      <c r="AD125" s="89">
        <f t="shared" si="5"/>
        <v>111.22023391871267</v>
      </c>
      <c r="AF125" s="91"/>
    </row>
    <row r="126" spans="1:33" s="89" customFormat="1" ht="60" customHeight="1" x14ac:dyDescent="0.3">
      <c r="A126" s="70" t="s">
        <v>130</v>
      </c>
      <c r="B126" s="80" t="s">
        <v>205</v>
      </c>
      <c r="C126" s="74" t="s">
        <v>198</v>
      </c>
      <c r="D126" s="82" t="s">
        <v>197</v>
      </c>
      <c r="E126" s="75" t="s">
        <v>126</v>
      </c>
      <c r="F126" s="75">
        <v>1.5</v>
      </c>
      <c r="G126" s="75">
        <v>11.9</v>
      </c>
      <c r="H126" s="75" t="s">
        <v>196</v>
      </c>
      <c r="I126" s="75" t="s">
        <v>195</v>
      </c>
      <c r="J126" s="81" t="s">
        <v>194</v>
      </c>
      <c r="K126" s="75" t="s">
        <v>154</v>
      </c>
      <c r="L126" s="80">
        <v>15</v>
      </c>
      <c r="M126" s="75" t="s">
        <v>121</v>
      </c>
      <c r="N126" s="75" t="s">
        <v>121</v>
      </c>
      <c r="O126" s="75" t="s">
        <v>121</v>
      </c>
      <c r="P126" s="75" t="s">
        <v>121</v>
      </c>
      <c r="Q126" s="81" t="s">
        <v>204</v>
      </c>
      <c r="R126" s="75">
        <v>20</v>
      </c>
      <c r="S126" s="75" t="s">
        <v>119</v>
      </c>
      <c r="T126" s="84">
        <v>78898.619000000006</v>
      </c>
      <c r="AD126" s="89">
        <f t="shared" si="5"/>
        <v>111.22023391871267</v>
      </c>
      <c r="AF126" s="91"/>
    </row>
    <row r="127" spans="1:33" s="89" customFormat="1" ht="60" customHeight="1" x14ac:dyDescent="0.3">
      <c r="A127" s="70" t="s">
        <v>130</v>
      </c>
      <c r="B127" s="80" t="s">
        <v>203</v>
      </c>
      <c r="C127" s="74" t="s">
        <v>198</v>
      </c>
      <c r="D127" s="82" t="s">
        <v>197</v>
      </c>
      <c r="E127" s="75" t="s">
        <v>126</v>
      </c>
      <c r="F127" s="75">
        <v>1.5</v>
      </c>
      <c r="G127" s="75">
        <v>11.9</v>
      </c>
      <c r="H127" s="75" t="s">
        <v>196</v>
      </c>
      <c r="I127" s="75" t="s">
        <v>195</v>
      </c>
      <c r="J127" s="81" t="s">
        <v>194</v>
      </c>
      <c r="K127" s="75" t="s">
        <v>154</v>
      </c>
      <c r="L127" s="80">
        <v>15</v>
      </c>
      <c r="M127" s="75" t="s">
        <v>121</v>
      </c>
      <c r="N127" s="75" t="s">
        <v>121</v>
      </c>
      <c r="O127" s="75" t="s">
        <v>121</v>
      </c>
      <c r="P127" s="75" t="s">
        <v>121</v>
      </c>
      <c r="Q127" s="81" t="s">
        <v>202</v>
      </c>
      <c r="R127" s="75">
        <v>20</v>
      </c>
      <c r="S127" s="75" t="s">
        <v>119</v>
      </c>
      <c r="T127" s="84">
        <v>78898.62</v>
      </c>
      <c r="AD127" s="89">
        <f t="shared" si="5"/>
        <v>111.22023391871267</v>
      </c>
      <c r="AF127" s="91"/>
    </row>
    <row r="128" spans="1:33" s="89" customFormat="1" ht="60" customHeight="1" x14ac:dyDescent="0.3">
      <c r="A128" s="70" t="s">
        <v>130</v>
      </c>
      <c r="B128" s="80" t="s">
        <v>201</v>
      </c>
      <c r="C128" s="74" t="s">
        <v>198</v>
      </c>
      <c r="D128" s="82" t="s">
        <v>197</v>
      </c>
      <c r="E128" s="75" t="s">
        <v>126</v>
      </c>
      <c r="F128" s="75">
        <v>1.5</v>
      </c>
      <c r="G128" s="75">
        <v>11.9</v>
      </c>
      <c r="H128" s="75" t="s">
        <v>196</v>
      </c>
      <c r="I128" s="75" t="s">
        <v>195</v>
      </c>
      <c r="J128" s="81" t="s">
        <v>194</v>
      </c>
      <c r="K128" s="75" t="s">
        <v>154</v>
      </c>
      <c r="L128" s="80">
        <v>15</v>
      </c>
      <c r="M128" s="75" t="s">
        <v>121</v>
      </c>
      <c r="N128" s="75" t="s">
        <v>121</v>
      </c>
      <c r="O128" s="75" t="s">
        <v>121</v>
      </c>
      <c r="P128" s="75" t="s">
        <v>121</v>
      </c>
      <c r="Q128" s="81" t="s">
        <v>200</v>
      </c>
      <c r="R128" s="75">
        <v>20</v>
      </c>
      <c r="S128" s="75" t="s">
        <v>119</v>
      </c>
      <c r="T128" s="84">
        <v>78898.620999999897</v>
      </c>
      <c r="AD128" s="89">
        <f t="shared" si="5"/>
        <v>111.22023391871267</v>
      </c>
      <c r="AF128" s="91"/>
    </row>
    <row r="129" spans="1:32" s="89" customFormat="1" ht="60" customHeight="1" x14ac:dyDescent="0.3">
      <c r="A129" s="70" t="s">
        <v>130</v>
      </c>
      <c r="B129" s="80" t="s">
        <v>199</v>
      </c>
      <c r="C129" s="74" t="s">
        <v>198</v>
      </c>
      <c r="D129" s="82" t="s">
        <v>197</v>
      </c>
      <c r="E129" s="75" t="s">
        <v>126</v>
      </c>
      <c r="F129" s="75">
        <v>1.5</v>
      </c>
      <c r="G129" s="75">
        <v>11.9</v>
      </c>
      <c r="H129" s="75" t="s">
        <v>196</v>
      </c>
      <c r="I129" s="75" t="s">
        <v>195</v>
      </c>
      <c r="J129" s="81" t="s">
        <v>194</v>
      </c>
      <c r="K129" s="75" t="s">
        <v>154</v>
      </c>
      <c r="L129" s="80">
        <v>15</v>
      </c>
      <c r="M129" s="75" t="s">
        <v>121</v>
      </c>
      <c r="N129" s="75" t="s">
        <v>121</v>
      </c>
      <c r="O129" s="75" t="s">
        <v>121</v>
      </c>
      <c r="P129" s="75" t="s">
        <v>121</v>
      </c>
      <c r="Q129" s="81" t="s">
        <v>193</v>
      </c>
      <c r="R129" s="75">
        <v>20</v>
      </c>
      <c r="S129" s="75" t="s">
        <v>119</v>
      </c>
      <c r="T129" s="84">
        <v>78898.621999999901</v>
      </c>
      <c r="AD129" s="89">
        <f t="shared" si="5"/>
        <v>111.22023391871267</v>
      </c>
      <c r="AF129" s="91"/>
    </row>
    <row r="130" spans="1:32" s="89" customFormat="1" ht="60" customHeight="1" x14ac:dyDescent="0.3">
      <c r="A130" s="70" t="s">
        <v>130</v>
      </c>
      <c r="B130" s="80" t="s">
        <v>192</v>
      </c>
      <c r="C130" s="82" t="s">
        <v>164</v>
      </c>
      <c r="D130" s="82" t="s">
        <v>191</v>
      </c>
      <c r="E130" s="75" t="s">
        <v>126</v>
      </c>
      <c r="F130" s="75">
        <v>1.5</v>
      </c>
      <c r="G130" s="75">
        <v>10.4</v>
      </c>
      <c r="H130" s="75" t="s">
        <v>163</v>
      </c>
      <c r="I130" s="75" t="s">
        <v>156</v>
      </c>
      <c r="J130" s="82" t="s">
        <v>162</v>
      </c>
      <c r="K130" s="75" t="s">
        <v>154</v>
      </c>
      <c r="L130" s="80">
        <v>30</v>
      </c>
      <c r="M130" s="75" t="s">
        <v>121</v>
      </c>
      <c r="N130" s="75" t="s">
        <v>121</v>
      </c>
      <c r="O130" s="75" t="s">
        <v>121</v>
      </c>
      <c r="P130" s="75" t="s">
        <v>121</v>
      </c>
      <c r="Q130" s="86" t="s">
        <v>190</v>
      </c>
      <c r="R130" s="75">
        <v>20</v>
      </c>
      <c r="S130" s="75" t="s">
        <v>119</v>
      </c>
      <c r="T130" s="85" t="s">
        <v>184</v>
      </c>
      <c r="AD130" s="89">
        <f t="shared" si="5"/>
        <v>84.948665353068009</v>
      </c>
    </row>
    <row r="131" spans="1:32" s="89" customFormat="1" ht="60" customHeight="1" x14ac:dyDescent="0.3">
      <c r="A131" s="70" t="s">
        <v>130</v>
      </c>
      <c r="B131" s="80" t="s">
        <v>189</v>
      </c>
      <c r="C131" s="82" t="s">
        <v>188</v>
      </c>
      <c r="D131" s="82" t="s">
        <v>187</v>
      </c>
      <c r="E131" s="75" t="s">
        <v>126</v>
      </c>
      <c r="F131" s="75" t="s">
        <v>157</v>
      </c>
      <c r="G131" s="75" t="s">
        <v>157</v>
      </c>
      <c r="H131" s="75" t="s">
        <v>157</v>
      </c>
      <c r="I131" s="75" t="s">
        <v>156</v>
      </c>
      <c r="J131" s="82" t="s">
        <v>155</v>
      </c>
      <c r="K131" s="75" t="s">
        <v>154</v>
      </c>
      <c r="L131" s="80">
        <v>35</v>
      </c>
      <c r="M131" s="75" t="s">
        <v>121</v>
      </c>
      <c r="N131" s="75" t="s">
        <v>121</v>
      </c>
      <c r="O131" s="75" t="s">
        <v>121</v>
      </c>
      <c r="P131" s="75" t="s">
        <v>121</v>
      </c>
      <c r="Q131" s="82" t="s">
        <v>153</v>
      </c>
      <c r="R131" s="75" t="s">
        <v>152</v>
      </c>
      <c r="S131" s="75" t="s">
        <v>152</v>
      </c>
      <c r="T131" s="84">
        <v>78898.964999999997</v>
      </c>
      <c r="AD131" s="89" t="e">
        <f t="shared" si="5"/>
        <v>#VALUE!</v>
      </c>
    </row>
    <row r="132" spans="1:32" s="89" customFormat="1" ht="60" customHeight="1" x14ac:dyDescent="0.3">
      <c r="A132" s="70" t="s">
        <v>130</v>
      </c>
      <c r="B132" s="80" t="s">
        <v>186</v>
      </c>
      <c r="C132" s="82" t="s">
        <v>164</v>
      </c>
      <c r="D132" s="82" t="s">
        <v>182</v>
      </c>
      <c r="E132" s="75" t="s">
        <v>126</v>
      </c>
      <c r="F132" s="75">
        <v>1.5</v>
      </c>
      <c r="G132" s="75">
        <v>10.4</v>
      </c>
      <c r="H132" s="75" t="s">
        <v>163</v>
      </c>
      <c r="I132" s="75" t="s">
        <v>156</v>
      </c>
      <c r="J132" s="82" t="s">
        <v>162</v>
      </c>
      <c r="K132" s="75" t="s">
        <v>154</v>
      </c>
      <c r="L132" s="80">
        <v>30</v>
      </c>
      <c r="M132" s="75" t="s">
        <v>121</v>
      </c>
      <c r="N132" s="75" t="s">
        <v>121</v>
      </c>
      <c r="O132" s="75" t="s">
        <v>121</v>
      </c>
      <c r="P132" s="75" t="s">
        <v>121</v>
      </c>
      <c r="Q132" s="86" t="s">
        <v>185</v>
      </c>
      <c r="R132" s="75">
        <v>20</v>
      </c>
      <c r="S132" s="75" t="s">
        <v>119</v>
      </c>
      <c r="T132" s="85" t="s">
        <v>184</v>
      </c>
      <c r="AD132" s="89">
        <f t="shared" si="5"/>
        <v>84.948665353068009</v>
      </c>
    </row>
    <row r="133" spans="1:32" s="89" customFormat="1" ht="60" customHeight="1" x14ac:dyDescent="0.3">
      <c r="A133" s="70" t="s">
        <v>130</v>
      </c>
      <c r="B133" s="80" t="s">
        <v>183</v>
      </c>
      <c r="C133" s="82" t="s">
        <v>182</v>
      </c>
      <c r="D133" s="82" t="s">
        <v>181</v>
      </c>
      <c r="E133" s="75" t="s">
        <v>126</v>
      </c>
      <c r="F133" s="75" t="s">
        <v>157</v>
      </c>
      <c r="G133" s="75" t="s">
        <v>157</v>
      </c>
      <c r="H133" s="75" t="s">
        <v>157</v>
      </c>
      <c r="I133" s="75" t="s">
        <v>156</v>
      </c>
      <c r="J133" s="82" t="s">
        <v>155</v>
      </c>
      <c r="K133" s="75" t="s">
        <v>154</v>
      </c>
      <c r="L133" s="80">
        <v>35</v>
      </c>
      <c r="M133" s="75" t="s">
        <v>121</v>
      </c>
      <c r="N133" s="75" t="s">
        <v>121</v>
      </c>
      <c r="O133" s="75" t="s">
        <v>121</v>
      </c>
      <c r="P133" s="75" t="s">
        <v>121</v>
      </c>
      <c r="Q133" s="82" t="s">
        <v>153</v>
      </c>
      <c r="R133" s="75" t="s">
        <v>152</v>
      </c>
      <c r="S133" s="75" t="s">
        <v>152</v>
      </c>
      <c r="T133" s="84">
        <v>78898.964999999997</v>
      </c>
      <c r="AD133" s="89" t="e">
        <f t="shared" si="5"/>
        <v>#VALUE!</v>
      </c>
    </row>
    <row r="134" spans="1:32" s="89" customFormat="1" ht="60" customHeight="1" x14ac:dyDescent="0.3">
      <c r="A134" s="70" t="s">
        <v>130</v>
      </c>
      <c r="B134" s="80" t="s">
        <v>180</v>
      </c>
      <c r="C134" s="82" t="s">
        <v>164</v>
      </c>
      <c r="D134" s="82" t="s">
        <v>177</v>
      </c>
      <c r="E134" s="75" t="s">
        <v>126</v>
      </c>
      <c r="F134" s="75">
        <v>1.5</v>
      </c>
      <c r="G134" s="75">
        <v>10.4</v>
      </c>
      <c r="H134" s="75" t="s">
        <v>163</v>
      </c>
      <c r="I134" s="75" t="s">
        <v>156</v>
      </c>
      <c r="J134" s="82" t="s">
        <v>162</v>
      </c>
      <c r="K134" s="75" t="s">
        <v>154</v>
      </c>
      <c r="L134" s="80">
        <v>34</v>
      </c>
      <c r="M134" s="75" t="s">
        <v>121</v>
      </c>
      <c r="N134" s="75" t="s">
        <v>121</v>
      </c>
      <c r="O134" s="75" t="s">
        <v>121</v>
      </c>
      <c r="P134" s="75" t="s">
        <v>121</v>
      </c>
      <c r="Q134" s="86"/>
      <c r="R134" s="75">
        <v>20</v>
      </c>
      <c r="S134" s="75" t="s">
        <v>119</v>
      </c>
      <c r="T134" s="85" t="s">
        <v>179</v>
      </c>
      <c r="AD134" s="89">
        <f t="shared" si="5"/>
        <v>84.948665353068009</v>
      </c>
    </row>
    <row r="135" spans="1:32" s="89" customFormat="1" ht="60" customHeight="1" x14ac:dyDescent="0.3">
      <c r="A135" s="70" t="s">
        <v>130</v>
      </c>
      <c r="B135" s="80" t="s">
        <v>178</v>
      </c>
      <c r="C135" s="82" t="s">
        <v>177</v>
      </c>
      <c r="D135" s="82" t="s">
        <v>176</v>
      </c>
      <c r="E135" s="75" t="s">
        <v>126</v>
      </c>
      <c r="F135" s="75" t="s">
        <v>157</v>
      </c>
      <c r="G135" s="75" t="s">
        <v>157</v>
      </c>
      <c r="H135" s="75" t="s">
        <v>157</v>
      </c>
      <c r="I135" s="75" t="s">
        <v>156</v>
      </c>
      <c r="J135" s="82" t="s">
        <v>155</v>
      </c>
      <c r="K135" s="75" t="s">
        <v>154</v>
      </c>
      <c r="L135" s="80">
        <v>30</v>
      </c>
      <c r="M135" s="75" t="s">
        <v>121</v>
      </c>
      <c r="N135" s="75" t="s">
        <v>121</v>
      </c>
      <c r="O135" s="75" t="s">
        <v>121</v>
      </c>
      <c r="P135" s="75" t="s">
        <v>121</v>
      </c>
      <c r="Q135" s="82" t="s">
        <v>153</v>
      </c>
      <c r="R135" s="75" t="s">
        <v>152</v>
      </c>
      <c r="S135" s="75" t="s">
        <v>152</v>
      </c>
      <c r="T135" s="84">
        <v>78898.975000000006</v>
      </c>
      <c r="AD135" s="89" t="e">
        <f t="shared" ref="AD135:AD150" si="6">IF(PI()*(G135/2)^2=0,"",PI()*(G135/2)^2)</f>
        <v>#VALUE!</v>
      </c>
    </row>
    <row r="136" spans="1:32" s="89" customFormat="1" ht="60" customHeight="1" x14ac:dyDescent="0.3">
      <c r="A136" s="70" t="s">
        <v>130</v>
      </c>
      <c r="B136" s="80" t="s">
        <v>175</v>
      </c>
      <c r="C136" s="82" t="s">
        <v>164</v>
      </c>
      <c r="D136" s="82" t="s">
        <v>172</v>
      </c>
      <c r="E136" s="75" t="s">
        <v>126</v>
      </c>
      <c r="F136" s="75">
        <v>1.5</v>
      </c>
      <c r="G136" s="75">
        <v>10.4</v>
      </c>
      <c r="H136" s="75" t="s">
        <v>163</v>
      </c>
      <c r="I136" s="75" t="s">
        <v>156</v>
      </c>
      <c r="J136" s="82" t="s">
        <v>162</v>
      </c>
      <c r="K136" s="75" t="s">
        <v>154</v>
      </c>
      <c r="L136" s="80">
        <v>36</v>
      </c>
      <c r="M136" s="75" t="s">
        <v>121</v>
      </c>
      <c r="N136" s="75" t="s">
        <v>121</v>
      </c>
      <c r="O136" s="75" t="s">
        <v>121</v>
      </c>
      <c r="P136" s="75" t="s">
        <v>121</v>
      </c>
      <c r="Q136" s="86"/>
      <c r="R136" s="75">
        <v>20</v>
      </c>
      <c r="S136" s="75" t="s">
        <v>119</v>
      </c>
      <c r="T136" s="85" t="s">
        <v>174</v>
      </c>
      <c r="AD136" s="89">
        <f t="shared" si="6"/>
        <v>84.948665353068009</v>
      </c>
    </row>
    <row r="137" spans="1:32" s="89" customFormat="1" ht="60" customHeight="1" x14ac:dyDescent="0.3">
      <c r="A137" s="70" t="s">
        <v>130</v>
      </c>
      <c r="B137" s="80" t="s">
        <v>173</v>
      </c>
      <c r="C137" s="82" t="s">
        <v>172</v>
      </c>
      <c r="D137" s="82" t="s">
        <v>171</v>
      </c>
      <c r="E137" s="75" t="s">
        <v>126</v>
      </c>
      <c r="F137" s="75" t="s">
        <v>157</v>
      </c>
      <c r="G137" s="75" t="s">
        <v>157</v>
      </c>
      <c r="H137" s="75" t="s">
        <v>157</v>
      </c>
      <c r="I137" s="75" t="s">
        <v>156</v>
      </c>
      <c r="J137" s="82" t="s">
        <v>155</v>
      </c>
      <c r="K137" s="75" t="s">
        <v>154</v>
      </c>
      <c r="L137" s="80">
        <v>30</v>
      </c>
      <c r="M137" s="75" t="s">
        <v>121</v>
      </c>
      <c r="N137" s="75" t="s">
        <v>121</v>
      </c>
      <c r="O137" s="75" t="s">
        <v>121</v>
      </c>
      <c r="P137" s="75" t="s">
        <v>121</v>
      </c>
      <c r="Q137" s="82" t="s">
        <v>153</v>
      </c>
      <c r="R137" s="75" t="s">
        <v>152</v>
      </c>
      <c r="S137" s="75" t="s">
        <v>152</v>
      </c>
      <c r="T137" s="84">
        <v>78898.974000000002</v>
      </c>
      <c r="AD137" s="89" t="e">
        <f t="shared" si="6"/>
        <v>#VALUE!</v>
      </c>
    </row>
    <row r="138" spans="1:32" s="89" customFormat="1" ht="60" customHeight="1" x14ac:dyDescent="0.3">
      <c r="A138" s="70" t="s">
        <v>130</v>
      </c>
      <c r="B138" s="80" t="s">
        <v>170</v>
      </c>
      <c r="C138" s="82" t="s">
        <v>164</v>
      </c>
      <c r="D138" s="82" t="s">
        <v>167</v>
      </c>
      <c r="E138" s="75" t="s">
        <v>126</v>
      </c>
      <c r="F138" s="75">
        <v>1.5</v>
      </c>
      <c r="G138" s="75">
        <v>10.4</v>
      </c>
      <c r="H138" s="75" t="s">
        <v>163</v>
      </c>
      <c r="I138" s="75" t="s">
        <v>156</v>
      </c>
      <c r="J138" s="82" t="s">
        <v>162</v>
      </c>
      <c r="K138" s="75" t="s">
        <v>154</v>
      </c>
      <c r="L138" s="80">
        <v>45</v>
      </c>
      <c r="M138" s="75" t="s">
        <v>121</v>
      </c>
      <c r="N138" s="75" t="s">
        <v>121</v>
      </c>
      <c r="O138" s="75" t="s">
        <v>121</v>
      </c>
      <c r="P138" s="75" t="s">
        <v>121</v>
      </c>
      <c r="Q138" s="86"/>
      <c r="R138" s="75">
        <v>20</v>
      </c>
      <c r="S138" s="75" t="s">
        <v>119</v>
      </c>
      <c r="T138" s="85" t="s">
        <v>169</v>
      </c>
      <c r="AD138" s="89">
        <f t="shared" si="6"/>
        <v>84.948665353068009</v>
      </c>
    </row>
    <row r="139" spans="1:32" s="89" customFormat="1" ht="60" customHeight="1" x14ac:dyDescent="0.3">
      <c r="A139" s="70" t="s">
        <v>130</v>
      </c>
      <c r="B139" s="80" t="s">
        <v>168</v>
      </c>
      <c r="C139" s="82" t="s">
        <v>167</v>
      </c>
      <c r="D139" s="82" t="s">
        <v>166</v>
      </c>
      <c r="E139" s="75" t="s">
        <v>126</v>
      </c>
      <c r="F139" s="75" t="s">
        <v>157</v>
      </c>
      <c r="G139" s="75" t="s">
        <v>157</v>
      </c>
      <c r="H139" s="75" t="s">
        <v>157</v>
      </c>
      <c r="I139" s="75" t="s">
        <v>156</v>
      </c>
      <c r="J139" s="82" t="s">
        <v>155</v>
      </c>
      <c r="K139" s="75" t="s">
        <v>154</v>
      </c>
      <c r="L139" s="80">
        <v>30</v>
      </c>
      <c r="M139" s="75" t="s">
        <v>121</v>
      </c>
      <c r="N139" s="75" t="s">
        <v>121</v>
      </c>
      <c r="O139" s="75" t="s">
        <v>121</v>
      </c>
      <c r="P139" s="75" t="s">
        <v>121</v>
      </c>
      <c r="Q139" s="82" t="s">
        <v>153</v>
      </c>
      <c r="R139" s="75" t="s">
        <v>152</v>
      </c>
      <c r="S139" s="75" t="s">
        <v>152</v>
      </c>
      <c r="T139" s="84">
        <v>78898.974000000002</v>
      </c>
      <c r="AD139" s="89" t="e">
        <f t="shared" si="6"/>
        <v>#VALUE!</v>
      </c>
    </row>
    <row r="140" spans="1:32" s="89" customFormat="1" ht="60" customHeight="1" x14ac:dyDescent="0.3">
      <c r="A140" s="70" t="s">
        <v>130</v>
      </c>
      <c r="B140" s="80" t="s">
        <v>165</v>
      </c>
      <c r="C140" s="82" t="s">
        <v>164</v>
      </c>
      <c r="D140" s="82" t="s">
        <v>159</v>
      </c>
      <c r="E140" s="75" t="s">
        <v>126</v>
      </c>
      <c r="F140" s="75">
        <v>1.5</v>
      </c>
      <c r="G140" s="75">
        <v>10.4</v>
      </c>
      <c r="H140" s="75" t="s">
        <v>163</v>
      </c>
      <c r="I140" s="75" t="s">
        <v>156</v>
      </c>
      <c r="J140" s="82" t="s">
        <v>162</v>
      </c>
      <c r="K140" s="75" t="s">
        <v>154</v>
      </c>
      <c r="L140" s="80">
        <v>36</v>
      </c>
      <c r="M140" s="75" t="s">
        <v>121</v>
      </c>
      <c r="N140" s="75" t="s">
        <v>121</v>
      </c>
      <c r="O140" s="75" t="s">
        <v>121</v>
      </c>
      <c r="P140" s="75" t="s">
        <v>121</v>
      </c>
      <c r="Q140" s="86"/>
      <c r="R140" s="75">
        <v>20</v>
      </c>
      <c r="S140" s="75" t="s">
        <v>119</v>
      </c>
      <c r="T140" s="85" t="s">
        <v>161</v>
      </c>
      <c r="AD140" s="89">
        <f t="shared" si="6"/>
        <v>84.948665353068009</v>
      </c>
    </row>
    <row r="141" spans="1:32" s="89" customFormat="1" ht="60" customHeight="1" x14ac:dyDescent="0.3">
      <c r="A141" s="70" t="s">
        <v>130</v>
      </c>
      <c r="B141" s="80" t="s">
        <v>160</v>
      </c>
      <c r="C141" s="82" t="s">
        <v>159</v>
      </c>
      <c r="D141" s="82" t="s">
        <v>158</v>
      </c>
      <c r="E141" s="75" t="s">
        <v>126</v>
      </c>
      <c r="F141" s="75" t="s">
        <v>157</v>
      </c>
      <c r="G141" s="75" t="s">
        <v>157</v>
      </c>
      <c r="H141" s="75" t="s">
        <v>157</v>
      </c>
      <c r="I141" s="75" t="s">
        <v>156</v>
      </c>
      <c r="J141" s="82" t="s">
        <v>155</v>
      </c>
      <c r="K141" s="75" t="s">
        <v>154</v>
      </c>
      <c r="L141" s="80">
        <v>30</v>
      </c>
      <c r="M141" s="75" t="s">
        <v>121</v>
      </c>
      <c r="N141" s="75" t="s">
        <v>121</v>
      </c>
      <c r="O141" s="75" t="s">
        <v>121</v>
      </c>
      <c r="P141" s="75" t="s">
        <v>121</v>
      </c>
      <c r="Q141" s="82" t="s">
        <v>153</v>
      </c>
      <c r="R141" s="75" t="s">
        <v>152</v>
      </c>
      <c r="S141" s="75" t="s">
        <v>152</v>
      </c>
      <c r="T141" s="84">
        <v>78898.971999999994</v>
      </c>
      <c r="AD141" s="89" t="e">
        <f t="shared" si="6"/>
        <v>#VALUE!</v>
      </c>
    </row>
    <row r="142" spans="1:32" s="89" customFormat="1" ht="60" customHeight="1" x14ac:dyDescent="0.3">
      <c r="A142" s="70" t="s">
        <v>130</v>
      </c>
      <c r="B142" s="70" t="s">
        <v>151</v>
      </c>
      <c r="C142" s="74" t="s">
        <v>150</v>
      </c>
      <c r="D142" s="74" t="s">
        <v>147</v>
      </c>
      <c r="E142" s="72" t="s">
        <v>126</v>
      </c>
      <c r="F142" s="72">
        <v>0.34</v>
      </c>
      <c r="G142" s="72">
        <v>8</v>
      </c>
      <c r="H142" s="72" t="s">
        <v>125</v>
      </c>
      <c r="I142" s="72" t="s">
        <v>124</v>
      </c>
      <c r="J142" s="73" t="s">
        <v>123</v>
      </c>
      <c r="K142" s="72" t="s">
        <v>122</v>
      </c>
      <c r="L142" s="80">
        <v>35</v>
      </c>
      <c r="M142" s="75" t="s">
        <v>121</v>
      </c>
      <c r="N142" s="75" t="s">
        <v>121</v>
      </c>
      <c r="O142" s="75" t="s">
        <v>121</v>
      </c>
      <c r="P142" s="75" t="s">
        <v>121</v>
      </c>
      <c r="Q142" s="82" t="s">
        <v>146</v>
      </c>
      <c r="R142" s="75">
        <v>16</v>
      </c>
      <c r="S142" s="72" t="s">
        <v>119</v>
      </c>
      <c r="T142" s="85" t="s">
        <v>149</v>
      </c>
      <c r="AD142" s="89">
        <f t="shared" si="6"/>
        <v>50.26548245743669</v>
      </c>
    </row>
    <row r="143" spans="1:32" s="89" customFormat="1" ht="60" customHeight="1" x14ac:dyDescent="0.3">
      <c r="A143" s="70" t="s">
        <v>130</v>
      </c>
      <c r="B143" s="70" t="s">
        <v>148</v>
      </c>
      <c r="C143" s="74" t="s">
        <v>147</v>
      </c>
      <c r="D143" s="74" t="s">
        <v>144</v>
      </c>
      <c r="E143" s="72" t="s">
        <v>126</v>
      </c>
      <c r="F143" s="72">
        <v>0.34</v>
      </c>
      <c r="G143" s="72">
        <v>8</v>
      </c>
      <c r="H143" s="72" t="s">
        <v>125</v>
      </c>
      <c r="I143" s="72" t="s">
        <v>124</v>
      </c>
      <c r="J143" s="73" t="s">
        <v>123</v>
      </c>
      <c r="K143" s="72" t="s">
        <v>122</v>
      </c>
      <c r="L143" s="80">
        <v>1</v>
      </c>
      <c r="M143" s="75" t="s">
        <v>121</v>
      </c>
      <c r="N143" s="75" t="s">
        <v>121</v>
      </c>
      <c r="O143" s="75" t="s">
        <v>121</v>
      </c>
      <c r="P143" s="75" t="s">
        <v>121</v>
      </c>
      <c r="Q143" s="82" t="s">
        <v>146</v>
      </c>
      <c r="R143" s="75">
        <v>16</v>
      </c>
      <c r="S143" s="72" t="s">
        <v>119</v>
      </c>
      <c r="T143" s="84">
        <v>78898.947</v>
      </c>
      <c r="AD143" s="89">
        <f t="shared" si="6"/>
        <v>50.26548245743669</v>
      </c>
    </row>
    <row r="144" spans="1:32" s="89" customFormat="1" ht="60" customHeight="1" x14ac:dyDescent="0.3">
      <c r="A144" s="70" t="s">
        <v>130</v>
      </c>
      <c r="B144" s="70" t="s">
        <v>145</v>
      </c>
      <c r="C144" s="74" t="s">
        <v>144</v>
      </c>
      <c r="D144" s="74" t="s">
        <v>142</v>
      </c>
      <c r="E144" s="72" t="s">
        <v>126</v>
      </c>
      <c r="F144" s="72">
        <v>0.34</v>
      </c>
      <c r="G144" s="72">
        <v>8</v>
      </c>
      <c r="H144" s="72" t="s">
        <v>125</v>
      </c>
      <c r="I144" s="72" t="s">
        <v>124</v>
      </c>
      <c r="J144" s="73" t="s">
        <v>123</v>
      </c>
      <c r="K144" s="72" t="s">
        <v>122</v>
      </c>
      <c r="L144" s="80">
        <v>6</v>
      </c>
      <c r="M144" s="75" t="s">
        <v>121</v>
      </c>
      <c r="N144" s="75" t="s">
        <v>121</v>
      </c>
      <c r="O144" s="75" t="s">
        <v>121</v>
      </c>
      <c r="P144" s="75" t="s">
        <v>121</v>
      </c>
      <c r="Q144" s="82" t="s">
        <v>141</v>
      </c>
      <c r="R144" s="75">
        <v>16</v>
      </c>
      <c r="S144" s="72" t="s">
        <v>119</v>
      </c>
      <c r="T144" s="84">
        <v>78898.947</v>
      </c>
      <c r="AD144" s="89">
        <f t="shared" si="6"/>
        <v>50.26548245743669</v>
      </c>
    </row>
    <row r="145" spans="1:30" s="89" customFormat="1" ht="60" customHeight="1" x14ac:dyDescent="0.3">
      <c r="A145" s="70" t="s">
        <v>130</v>
      </c>
      <c r="B145" s="70" t="s">
        <v>143</v>
      </c>
      <c r="C145" s="74" t="s">
        <v>142</v>
      </c>
      <c r="D145" s="74" t="s">
        <v>139</v>
      </c>
      <c r="E145" s="72" t="s">
        <v>126</v>
      </c>
      <c r="F145" s="72">
        <v>0.34</v>
      </c>
      <c r="G145" s="72">
        <v>8</v>
      </c>
      <c r="H145" s="72" t="s">
        <v>125</v>
      </c>
      <c r="I145" s="72" t="s">
        <v>124</v>
      </c>
      <c r="J145" s="73" t="s">
        <v>123</v>
      </c>
      <c r="K145" s="72" t="s">
        <v>122</v>
      </c>
      <c r="L145" s="80">
        <v>1</v>
      </c>
      <c r="M145" s="75" t="s">
        <v>121</v>
      </c>
      <c r="N145" s="75" t="s">
        <v>121</v>
      </c>
      <c r="O145" s="75" t="s">
        <v>121</v>
      </c>
      <c r="P145" s="75" t="s">
        <v>121</v>
      </c>
      <c r="Q145" s="82" t="s">
        <v>141</v>
      </c>
      <c r="R145" s="75">
        <v>16</v>
      </c>
      <c r="S145" s="72" t="s">
        <v>119</v>
      </c>
      <c r="T145" s="84">
        <v>78898.947</v>
      </c>
      <c r="AD145" s="89">
        <f t="shared" si="6"/>
        <v>50.26548245743669</v>
      </c>
    </row>
    <row r="146" spans="1:30" s="89" customFormat="1" ht="60" customHeight="1" x14ac:dyDescent="0.3">
      <c r="A146" s="70" t="s">
        <v>130</v>
      </c>
      <c r="B146" s="70" t="s">
        <v>140</v>
      </c>
      <c r="C146" s="74" t="s">
        <v>139</v>
      </c>
      <c r="D146" s="74" t="s">
        <v>137</v>
      </c>
      <c r="E146" s="72" t="s">
        <v>126</v>
      </c>
      <c r="F146" s="72">
        <v>0.34</v>
      </c>
      <c r="G146" s="72">
        <v>8</v>
      </c>
      <c r="H146" s="72" t="s">
        <v>125</v>
      </c>
      <c r="I146" s="72" t="s">
        <v>124</v>
      </c>
      <c r="J146" s="73" t="s">
        <v>123</v>
      </c>
      <c r="K146" s="72" t="s">
        <v>122</v>
      </c>
      <c r="L146" s="80">
        <v>25</v>
      </c>
      <c r="M146" s="75" t="s">
        <v>121</v>
      </c>
      <c r="N146" s="75" t="s">
        <v>121</v>
      </c>
      <c r="O146" s="75" t="s">
        <v>121</v>
      </c>
      <c r="P146" s="75" t="s">
        <v>121</v>
      </c>
      <c r="Q146" s="82" t="s">
        <v>136</v>
      </c>
      <c r="R146" s="75">
        <v>16</v>
      </c>
      <c r="S146" s="72" t="s">
        <v>119</v>
      </c>
      <c r="T146" s="84">
        <v>78898.947</v>
      </c>
      <c r="AD146" s="89">
        <f t="shared" si="6"/>
        <v>50.26548245743669</v>
      </c>
    </row>
    <row r="147" spans="1:30" s="89" customFormat="1" ht="60" customHeight="1" x14ac:dyDescent="0.3">
      <c r="A147" s="70" t="s">
        <v>130</v>
      </c>
      <c r="B147" s="70" t="s">
        <v>138</v>
      </c>
      <c r="C147" s="74" t="s">
        <v>137</v>
      </c>
      <c r="D147" s="74" t="s">
        <v>134</v>
      </c>
      <c r="E147" s="72" t="s">
        <v>126</v>
      </c>
      <c r="F147" s="72">
        <v>0.34</v>
      </c>
      <c r="G147" s="72">
        <v>8</v>
      </c>
      <c r="H147" s="72" t="s">
        <v>125</v>
      </c>
      <c r="I147" s="72" t="s">
        <v>124</v>
      </c>
      <c r="J147" s="73" t="s">
        <v>123</v>
      </c>
      <c r="K147" s="72" t="s">
        <v>122</v>
      </c>
      <c r="L147" s="80">
        <v>1</v>
      </c>
      <c r="M147" s="75" t="s">
        <v>121</v>
      </c>
      <c r="N147" s="75" t="s">
        <v>121</v>
      </c>
      <c r="O147" s="75" t="s">
        <v>121</v>
      </c>
      <c r="P147" s="75" t="s">
        <v>121</v>
      </c>
      <c r="Q147" s="82" t="s">
        <v>136</v>
      </c>
      <c r="R147" s="75">
        <v>16</v>
      </c>
      <c r="S147" s="72" t="s">
        <v>119</v>
      </c>
      <c r="T147" s="84">
        <v>78898.947</v>
      </c>
      <c r="AD147" s="89">
        <f t="shared" si="6"/>
        <v>50.26548245743669</v>
      </c>
    </row>
    <row r="148" spans="1:30" s="89" customFormat="1" ht="60" customHeight="1" x14ac:dyDescent="0.3">
      <c r="A148" s="70" t="s">
        <v>130</v>
      </c>
      <c r="B148" s="70" t="s">
        <v>135</v>
      </c>
      <c r="C148" s="74" t="s">
        <v>134</v>
      </c>
      <c r="D148" s="74" t="s">
        <v>132</v>
      </c>
      <c r="E148" s="72" t="s">
        <v>126</v>
      </c>
      <c r="F148" s="72">
        <v>0.34</v>
      </c>
      <c r="G148" s="72">
        <v>8</v>
      </c>
      <c r="H148" s="72" t="s">
        <v>125</v>
      </c>
      <c r="I148" s="72" t="s">
        <v>124</v>
      </c>
      <c r="J148" s="73" t="s">
        <v>123</v>
      </c>
      <c r="K148" s="72" t="s">
        <v>122</v>
      </c>
      <c r="L148" s="80">
        <v>12</v>
      </c>
      <c r="M148" s="75" t="s">
        <v>121</v>
      </c>
      <c r="N148" s="75" t="s">
        <v>121</v>
      </c>
      <c r="O148" s="75" t="s">
        <v>121</v>
      </c>
      <c r="P148" s="75" t="s">
        <v>121</v>
      </c>
      <c r="Q148" s="82" t="s">
        <v>131</v>
      </c>
      <c r="R148" s="75">
        <v>16</v>
      </c>
      <c r="S148" s="72" t="s">
        <v>119</v>
      </c>
      <c r="T148" s="84">
        <v>78898.947</v>
      </c>
      <c r="AD148" s="89">
        <f t="shared" si="6"/>
        <v>50.26548245743669</v>
      </c>
    </row>
    <row r="149" spans="1:30" s="89" customFormat="1" ht="60" customHeight="1" x14ac:dyDescent="0.3">
      <c r="A149" s="70" t="s">
        <v>130</v>
      </c>
      <c r="B149" s="70" t="s">
        <v>133</v>
      </c>
      <c r="C149" s="74" t="s">
        <v>132</v>
      </c>
      <c r="D149" s="74" t="s">
        <v>128</v>
      </c>
      <c r="E149" s="72" t="s">
        <v>126</v>
      </c>
      <c r="F149" s="72">
        <v>0.34</v>
      </c>
      <c r="G149" s="72">
        <v>8</v>
      </c>
      <c r="H149" s="72" t="s">
        <v>125</v>
      </c>
      <c r="I149" s="72" t="s">
        <v>124</v>
      </c>
      <c r="J149" s="73" t="s">
        <v>123</v>
      </c>
      <c r="K149" s="72" t="s">
        <v>122</v>
      </c>
      <c r="L149" s="80">
        <v>1</v>
      </c>
      <c r="M149" s="75" t="s">
        <v>121</v>
      </c>
      <c r="N149" s="75" t="s">
        <v>121</v>
      </c>
      <c r="O149" s="75" t="s">
        <v>121</v>
      </c>
      <c r="P149" s="75" t="s">
        <v>121</v>
      </c>
      <c r="Q149" s="82" t="s">
        <v>131</v>
      </c>
      <c r="R149" s="75">
        <v>16</v>
      </c>
      <c r="S149" s="72" t="s">
        <v>119</v>
      </c>
      <c r="T149" s="84">
        <v>78898.947</v>
      </c>
      <c r="AD149" s="89">
        <f t="shared" si="6"/>
        <v>50.26548245743669</v>
      </c>
    </row>
    <row r="150" spans="1:30" s="89" customFormat="1" ht="60" customHeight="1" x14ac:dyDescent="0.3">
      <c r="A150" s="70" t="s">
        <v>130</v>
      </c>
      <c r="B150" s="70" t="s">
        <v>129</v>
      </c>
      <c r="C150" s="74" t="s">
        <v>128</v>
      </c>
      <c r="D150" s="74" t="s">
        <v>127</v>
      </c>
      <c r="E150" s="72" t="s">
        <v>126</v>
      </c>
      <c r="F150" s="72">
        <v>0.34</v>
      </c>
      <c r="G150" s="72">
        <v>8</v>
      </c>
      <c r="H150" s="72" t="s">
        <v>125</v>
      </c>
      <c r="I150" s="72" t="s">
        <v>124</v>
      </c>
      <c r="J150" s="73" t="s">
        <v>123</v>
      </c>
      <c r="K150" s="72" t="s">
        <v>122</v>
      </c>
      <c r="L150" s="70">
        <v>36</v>
      </c>
      <c r="M150" s="72" t="s">
        <v>121</v>
      </c>
      <c r="N150" s="72" t="s">
        <v>121</v>
      </c>
      <c r="O150" s="72" t="s">
        <v>121</v>
      </c>
      <c r="P150" s="72" t="s">
        <v>121</v>
      </c>
      <c r="Q150" s="76" t="s">
        <v>120</v>
      </c>
      <c r="R150" s="72">
        <v>16</v>
      </c>
      <c r="S150" s="72" t="s">
        <v>119</v>
      </c>
      <c r="T150" s="87">
        <v>78898.947</v>
      </c>
      <c r="AD150" s="89">
        <f t="shared" si="6"/>
        <v>50.26548245743669</v>
      </c>
    </row>
  </sheetData>
  <autoFilter ref="A1:Q150" xr:uid="{7350097F-B004-4E35-A462-9ACD64760103}"/>
  <pageMargins left="0.25" right="0.25" top="0.75" bottom="0.75" header="0.3" footer="0.3"/>
  <pageSetup paperSize="8" scale="2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11319-EAB8-4C76-B84B-6212A9236548}">
  <sheetPr codeName="Sheet1">
    <pageSetUpPr fitToPage="1"/>
  </sheetPr>
  <dimension ref="A1:T74"/>
  <sheetViews>
    <sheetView tabSelected="1" view="pageBreakPreview" zoomScale="55" zoomScaleNormal="100" zoomScaleSheetLayoutView="55" workbookViewId="0">
      <selection activeCell="O12" sqref="O12"/>
    </sheetView>
  </sheetViews>
  <sheetFormatPr defaultRowHeight="14.4" x14ac:dyDescent="0.3"/>
  <cols>
    <col min="1" max="1" width="14.6640625" customWidth="1"/>
    <col min="2" max="2" width="17.88671875" customWidth="1"/>
    <col min="3" max="3" width="28.6640625" customWidth="1"/>
    <col min="4" max="4" width="9.33203125" customWidth="1"/>
    <col min="5" max="5" width="17.88671875" customWidth="1"/>
    <col min="8" max="8" width="14.6640625" customWidth="1"/>
    <col min="9" max="9" width="11.5546875" customWidth="1"/>
    <col min="10" max="10" width="11.109375" customWidth="1"/>
    <col min="11" max="11" width="12.88671875" customWidth="1"/>
    <col min="12" max="12" width="11.44140625" customWidth="1"/>
    <col min="13" max="13" width="13.44140625" customWidth="1"/>
    <col min="14" max="14" width="14.44140625" customWidth="1"/>
    <col min="15" max="15" width="26.33203125" customWidth="1"/>
  </cols>
  <sheetData>
    <row r="1" spans="1:15" ht="24.6" x14ac:dyDescent="0.3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8"/>
    </row>
    <row r="2" spans="1:15" ht="36" customHeight="1" x14ac:dyDescent="0.3">
      <c r="A2" s="11" t="s">
        <v>1</v>
      </c>
      <c r="B2" s="167" t="s">
        <v>508</v>
      </c>
      <c r="C2" s="167"/>
      <c r="D2" s="167"/>
      <c r="E2" s="167"/>
      <c r="F2" s="167" t="s">
        <v>2</v>
      </c>
      <c r="G2" s="167"/>
      <c r="H2" s="168" t="s">
        <v>509</v>
      </c>
      <c r="I2" s="169"/>
      <c r="J2" s="179"/>
      <c r="K2" s="49" t="s">
        <v>3</v>
      </c>
      <c r="L2" s="180" t="s">
        <v>510</v>
      </c>
      <c r="M2" s="181"/>
      <c r="N2" s="181"/>
      <c r="O2" s="182"/>
    </row>
    <row r="3" spans="1:15" ht="35.1" customHeight="1" x14ac:dyDescent="0.3">
      <c r="A3" s="11" t="s">
        <v>4</v>
      </c>
      <c r="B3" s="167"/>
      <c r="C3" s="167"/>
      <c r="D3" s="167"/>
      <c r="E3" s="167"/>
      <c r="F3" s="167" t="s">
        <v>5</v>
      </c>
      <c r="G3" s="167"/>
      <c r="H3" s="168"/>
      <c r="I3" s="169"/>
      <c r="J3" s="169"/>
      <c r="K3" s="169"/>
      <c r="L3" s="169"/>
      <c r="M3" s="169"/>
      <c r="N3" s="169"/>
      <c r="O3" s="170"/>
    </row>
    <row r="4" spans="1:15" ht="70.5" customHeight="1" x14ac:dyDescent="0.3">
      <c r="A4" s="11" t="s">
        <v>6</v>
      </c>
      <c r="B4" s="171" t="s">
        <v>128</v>
      </c>
      <c r="C4" s="172"/>
      <c r="D4" s="167" t="s">
        <v>491</v>
      </c>
      <c r="E4" s="167"/>
      <c r="F4" s="173"/>
      <c r="G4" s="174"/>
      <c r="H4" s="49" t="s">
        <v>8</v>
      </c>
      <c r="I4" s="171" t="s">
        <v>127</v>
      </c>
      <c r="J4" s="175"/>
      <c r="K4" s="175"/>
      <c r="L4" s="175"/>
      <c r="M4" s="172"/>
      <c r="N4" s="49" t="s">
        <v>7</v>
      </c>
      <c r="O4" s="12"/>
    </row>
    <row r="5" spans="1:15" ht="45.75" customHeight="1" x14ac:dyDescent="0.3">
      <c r="A5" s="11" t="s">
        <v>9</v>
      </c>
      <c r="B5" s="45" t="s">
        <v>129</v>
      </c>
      <c r="C5" s="49" t="s">
        <v>10</v>
      </c>
      <c r="D5" s="168" t="s">
        <v>123</v>
      </c>
      <c r="E5" s="183"/>
      <c r="F5" s="174"/>
      <c r="G5" s="167" t="s">
        <v>11</v>
      </c>
      <c r="H5" s="167"/>
      <c r="I5" s="168">
        <v>0.34</v>
      </c>
      <c r="J5" s="179"/>
      <c r="K5" s="49" t="s">
        <v>12</v>
      </c>
      <c r="L5" s="168">
        <v>36</v>
      </c>
      <c r="M5" s="179"/>
      <c r="N5" s="49" t="s">
        <v>13</v>
      </c>
      <c r="O5" s="12" t="s">
        <v>125</v>
      </c>
    </row>
    <row r="6" spans="1:15" ht="54.75" customHeight="1" thickBot="1" x14ac:dyDescent="0.35">
      <c r="A6" s="13" t="s">
        <v>14</v>
      </c>
      <c r="B6" s="14"/>
      <c r="C6" s="48" t="s">
        <v>15</v>
      </c>
      <c r="D6" s="163"/>
      <c r="E6" s="164"/>
      <c r="F6" s="165"/>
      <c r="G6" s="166" t="s">
        <v>16</v>
      </c>
      <c r="H6" s="166"/>
      <c r="I6" s="113"/>
      <c r="J6" s="114"/>
      <c r="K6" s="114"/>
      <c r="L6" s="24"/>
      <c r="M6" s="25"/>
      <c r="N6" s="113"/>
      <c r="O6" s="162"/>
    </row>
    <row r="7" spans="1:15" ht="30" customHeight="1" thickBot="1" x14ac:dyDescent="0.35">
      <c r="A7" s="132" t="s">
        <v>17</v>
      </c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</row>
    <row r="8" spans="1:15" ht="24.9" customHeight="1" x14ac:dyDescent="0.3">
      <c r="A8" s="121" t="s">
        <v>18</v>
      </c>
      <c r="B8" s="122"/>
      <c r="C8" s="122"/>
      <c r="D8" s="122"/>
      <c r="E8" s="122"/>
      <c r="F8" s="123"/>
      <c r="G8" s="124" t="s">
        <v>19</v>
      </c>
      <c r="H8" s="125"/>
      <c r="I8" s="125"/>
      <c r="J8" s="125"/>
      <c r="K8" s="125"/>
      <c r="L8" s="125"/>
      <c r="M8" s="125"/>
      <c r="N8" s="125"/>
      <c r="O8" s="126"/>
    </row>
    <row r="9" spans="1:15" ht="39.9" customHeight="1" x14ac:dyDescent="0.3">
      <c r="A9" s="131" t="s">
        <v>20</v>
      </c>
      <c r="B9" s="128"/>
      <c r="C9" s="128"/>
      <c r="D9" s="33" t="s">
        <v>21</v>
      </c>
      <c r="E9" s="10"/>
      <c r="F9" s="8"/>
      <c r="G9" s="131" t="s">
        <v>22</v>
      </c>
      <c r="H9" s="128"/>
      <c r="I9" s="128"/>
      <c r="J9" s="33" t="s">
        <v>21</v>
      </c>
      <c r="K9" s="127" t="s">
        <v>23</v>
      </c>
      <c r="L9" s="127"/>
      <c r="M9" s="127"/>
      <c r="N9" s="127"/>
      <c r="O9" s="34" t="s">
        <v>21</v>
      </c>
    </row>
    <row r="10" spans="1:15" ht="39.9" customHeight="1" x14ac:dyDescent="0.3">
      <c r="A10" s="131" t="s">
        <v>24</v>
      </c>
      <c r="B10" s="128"/>
      <c r="C10" s="128"/>
      <c r="D10" s="33" t="s">
        <v>21</v>
      </c>
      <c r="E10" s="10"/>
      <c r="F10" s="8"/>
      <c r="G10" s="131" t="s">
        <v>25</v>
      </c>
      <c r="H10" s="128"/>
      <c r="I10" s="128"/>
      <c r="J10" s="33" t="s">
        <v>21</v>
      </c>
      <c r="K10" s="128" t="s">
        <v>26</v>
      </c>
      <c r="L10" s="128"/>
      <c r="M10" s="128"/>
      <c r="N10" s="128"/>
      <c r="O10" s="34" t="s">
        <v>21</v>
      </c>
    </row>
    <row r="11" spans="1:15" ht="39.9" customHeight="1" x14ac:dyDescent="0.3">
      <c r="A11" s="131" t="s">
        <v>27</v>
      </c>
      <c r="B11" s="128"/>
      <c r="C11" s="128"/>
      <c r="D11" s="33" t="s">
        <v>21</v>
      </c>
      <c r="E11" s="10"/>
      <c r="F11" s="8"/>
      <c r="G11" s="131" t="s">
        <v>28</v>
      </c>
      <c r="H11" s="128"/>
      <c r="I11" s="128"/>
      <c r="J11" s="33" t="s">
        <v>21</v>
      </c>
      <c r="K11" s="128" t="s">
        <v>29</v>
      </c>
      <c r="L11" s="128"/>
      <c r="M11" s="128"/>
      <c r="N11" s="128"/>
      <c r="O11" s="34" t="s">
        <v>21</v>
      </c>
    </row>
    <row r="12" spans="1:15" ht="39.9" customHeight="1" x14ac:dyDescent="0.3">
      <c r="A12" s="160"/>
      <c r="B12" s="161"/>
      <c r="C12" s="47"/>
      <c r="D12" s="47"/>
      <c r="E12" s="47"/>
      <c r="F12" s="35"/>
      <c r="G12" s="129" t="s">
        <v>30</v>
      </c>
      <c r="H12" s="130"/>
      <c r="I12" s="130"/>
      <c r="J12" s="130"/>
      <c r="K12" s="130"/>
      <c r="L12" s="130"/>
      <c r="M12" s="130"/>
      <c r="N12" s="130"/>
      <c r="O12" s="34" t="s">
        <v>21</v>
      </c>
    </row>
    <row r="13" spans="1:15" ht="18" thickBot="1" x14ac:dyDescent="0.35">
      <c r="A13" s="111" t="s">
        <v>31</v>
      </c>
      <c r="B13" s="112"/>
      <c r="C13" s="42" t="s">
        <v>32</v>
      </c>
      <c r="D13" s="42" t="s">
        <v>33</v>
      </c>
      <c r="E13" s="16"/>
      <c r="F13" s="36"/>
      <c r="G13" s="21" t="s">
        <v>31</v>
      </c>
      <c r="H13" s="22"/>
      <c r="I13" s="20"/>
      <c r="J13" s="23" t="s">
        <v>32</v>
      </c>
      <c r="K13" s="22"/>
      <c r="L13" s="42"/>
      <c r="M13" s="22" t="s">
        <v>33</v>
      </c>
      <c r="N13" s="9"/>
      <c r="O13" s="36"/>
    </row>
    <row r="14" spans="1:15" ht="15" thickBot="1" x14ac:dyDescent="0.35">
      <c r="A14" s="150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</row>
    <row r="15" spans="1:15" ht="22.5" customHeight="1" x14ac:dyDescent="0.3">
      <c r="A15" s="151" t="s">
        <v>34</v>
      </c>
      <c r="B15" s="152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3"/>
    </row>
    <row r="16" spans="1:15" ht="15" customHeight="1" x14ac:dyDescent="0.3">
      <c r="A16" s="154" t="s">
        <v>35</v>
      </c>
      <c r="B16" s="149"/>
      <c r="C16" s="149" t="s">
        <v>36</v>
      </c>
      <c r="D16" s="149"/>
      <c r="E16" s="149"/>
      <c r="F16" s="115" t="s">
        <v>37</v>
      </c>
      <c r="G16" s="116"/>
      <c r="H16" s="116"/>
      <c r="I16" s="116"/>
      <c r="J16" s="116"/>
      <c r="K16" s="117"/>
      <c r="L16" s="115" t="s">
        <v>38</v>
      </c>
      <c r="M16" s="116"/>
      <c r="N16" s="117"/>
      <c r="O16" s="158" t="s">
        <v>39</v>
      </c>
    </row>
    <row r="17" spans="1:20" ht="15" customHeight="1" x14ac:dyDescent="0.3">
      <c r="A17" s="154"/>
      <c r="B17" s="149"/>
      <c r="C17" s="149"/>
      <c r="D17" s="149"/>
      <c r="E17" s="149"/>
      <c r="F17" s="118"/>
      <c r="G17" s="119"/>
      <c r="H17" s="119"/>
      <c r="I17" s="119"/>
      <c r="J17" s="119"/>
      <c r="K17" s="120"/>
      <c r="L17" s="155"/>
      <c r="M17" s="156"/>
      <c r="N17" s="157"/>
      <c r="O17" s="159"/>
    </row>
    <row r="18" spans="1:20" ht="20.399999999999999" x14ac:dyDescent="0.3">
      <c r="A18" s="154"/>
      <c r="B18" s="149"/>
      <c r="C18" s="46" t="s">
        <v>40</v>
      </c>
      <c r="D18" s="149" t="s">
        <v>41</v>
      </c>
      <c r="E18" s="149"/>
      <c r="F18" s="146" t="s">
        <v>40</v>
      </c>
      <c r="G18" s="147"/>
      <c r="H18" s="148"/>
      <c r="I18" s="146" t="s">
        <v>41</v>
      </c>
      <c r="J18" s="147"/>
      <c r="K18" s="148"/>
      <c r="L18" s="28"/>
      <c r="M18" s="29"/>
      <c r="N18" s="30"/>
      <c r="O18" s="31"/>
    </row>
    <row r="19" spans="1:20" ht="20.399999999999999" x14ac:dyDescent="0.3">
      <c r="A19" s="154"/>
      <c r="B19" s="149"/>
      <c r="C19" s="46" t="s">
        <v>42</v>
      </c>
      <c r="D19" s="149" t="s">
        <v>42</v>
      </c>
      <c r="E19" s="149"/>
      <c r="F19" s="149" t="s">
        <v>42</v>
      </c>
      <c r="G19" s="149"/>
      <c r="H19" s="149"/>
      <c r="I19" s="149" t="s">
        <v>42</v>
      </c>
      <c r="J19" s="149"/>
      <c r="K19" s="149"/>
      <c r="L19" s="149" t="s">
        <v>43</v>
      </c>
      <c r="M19" s="149"/>
      <c r="N19" s="149"/>
      <c r="O19" s="32" t="s">
        <v>43</v>
      </c>
      <c r="P19" s="5"/>
      <c r="Q19" s="5"/>
      <c r="R19" s="5"/>
      <c r="S19" s="5"/>
      <c r="T19" s="5"/>
    </row>
    <row r="20" spans="1:20" ht="24.9" customHeight="1" x14ac:dyDescent="0.3">
      <c r="A20" s="144" t="s">
        <v>44</v>
      </c>
      <c r="B20" s="145"/>
      <c r="C20" s="43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6"/>
    </row>
    <row r="21" spans="1:20" ht="24.9" customHeight="1" x14ac:dyDescent="0.3">
      <c r="A21" s="144" t="s">
        <v>45</v>
      </c>
      <c r="B21" s="145"/>
      <c r="C21" s="43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6"/>
    </row>
    <row r="22" spans="1:20" ht="24.9" customHeight="1" x14ac:dyDescent="0.3">
      <c r="A22" s="144" t="s">
        <v>46</v>
      </c>
      <c r="B22" s="145"/>
      <c r="C22" s="43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6"/>
    </row>
    <row r="23" spans="1:20" ht="24.9" customHeight="1" x14ac:dyDescent="0.3">
      <c r="A23" s="144" t="s">
        <v>47</v>
      </c>
      <c r="B23" s="145"/>
      <c r="C23" s="43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6"/>
    </row>
    <row r="24" spans="1:20" ht="24.9" customHeight="1" x14ac:dyDescent="0.3">
      <c r="A24" s="144" t="s">
        <v>48</v>
      </c>
      <c r="B24" s="145"/>
      <c r="C24" s="4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6"/>
    </row>
    <row r="25" spans="1:20" ht="24.9" customHeight="1" x14ac:dyDescent="0.3">
      <c r="A25" s="144" t="s">
        <v>49</v>
      </c>
      <c r="B25" s="145"/>
      <c r="C25" s="43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6"/>
    </row>
    <row r="26" spans="1:20" ht="24.9" customHeight="1" x14ac:dyDescent="0.3">
      <c r="A26" s="144" t="s">
        <v>50</v>
      </c>
      <c r="B26" s="145"/>
      <c r="C26" s="43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6"/>
    </row>
    <row r="27" spans="1:20" ht="24.9" customHeight="1" x14ac:dyDescent="0.3">
      <c r="A27" s="144" t="s">
        <v>51</v>
      </c>
      <c r="B27" s="145"/>
      <c r="C27" s="43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6"/>
    </row>
    <row r="28" spans="1:20" ht="24.9" customHeight="1" x14ac:dyDescent="0.3">
      <c r="A28" s="144" t="s">
        <v>52</v>
      </c>
      <c r="B28" s="145"/>
      <c r="C28" s="43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6"/>
    </row>
    <row r="29" spans="1:20" ht="24.9" customHeight="1" x14ac:dyDescent="0.3">
      <c r="A29" s="144" t="s">
        <v>53</v>
      </c>
      <c r="B29" s="145"/>
      <c r="C29" s="43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6"/>
    </row>
    <row r="30" spans="1:20" ht="24.9" customHeight="1" x14ac:dyDescent="0.3">
      <c r="A30" s="144" t="s">
        <v>54</v>
      </c>
      <c r="B30" s="145"/>
      <c r="C30" s="43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6"/>
    </row>
    <row r="31" spans="1:20" ht="24.9" customHeight="1" x14ac:dyDescent="0.3">
      <c r="A31" s="144" t="s">
        <v>55</v>
      </c>
      <c r="B31" s="145"/>
      <c r="C31" s="43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6"/>
    </row>
    <row r="32" spans="1:20" ht="24.9" customHeight="1" x14ac:dyDescent="0.3">
      <c r="A32" s="144" t="s">
        <v>56</v>
      </c>
      <c r="B32" s="145"/>
      <c r="C32" s="43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6"/>
    </row>
    <row r="33" spans="1:15" ht="24.9" customHeight="1" x14ac:dyDescent="0.3">
      <c r="A33" s="144" t="s">
        <v>57</v>
      </c>
      <c r="B33" s="145"/>
      <c r="C33" s="43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6"/>
    </row>
    <row r="34" spans="1:15" ht="24.9" customHeight="1" x14ac:dyDescent="0.3">
      <c r="A34" s="144" t="s">
        <v>58</v>
      </c>
      <c r="B34" s="145"/>
      <c r="C34" s="4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6"/>
    </row>
    <row r="35" spans="1:15" ht="24.9" customHeight="1" x14ac:dyDescent="0.3">
      <c r="A35" s="144" t="s">
        <v>59</v>
      </c>
      <c r="B35" s="145"/>
      <c r="C35" s="4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6"/>
    </row>
    <row r="36" spans="1:15" ht="24.9" customHeight="1" x14ac:dyDescent="0.3">
      <c r="A36" s="144" t="s">
        <v>60</v>
      </c>
      <c r="B36" s="145"/>
      <c r="C36" s="4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6"/>
    </row>
    <row r="37" spans="1:15" ht="24.9" customHeight="1" x14ac:dyDescent="0.3">
      <c r="A37" s="144" t="s">
        <v>61</v>
      </c>
      <c r="B37" s="145"/>
      <c r="C37" s="43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6"/>
    </row>
    <row r="38" spans="1:15" ht="24.9" customHeight="1" x14ac:dyDescent="0.3">
      <c r="A38" s="144" t="s">
        <v>62</v>
      </c>
      <c r="B38" s="145"/>
      <c r="C38" s="43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6"/>
    </row>
    <row r="39" spans="1:15" ht="24.9" customHeight="1" x14ac:dyDescent="0.3">
      <c r="A39" s="144" t="s">
        <v>63</v>
      </c>
      <c r="B39" s="145"/>
      <c r="C39" s="43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6"/>
    </row>
    <row r="40" spans="1:15" ht="24.9" customHeight="1" x14ac:dyDescent="0.3">
      <c r="A40" s="144" t="s">
        <v>64</v>
      </c>
      <c r="B40" s="145"/>
      <c r="C40" s="43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6"/>
    </row>
    <row r="41" spans="1:15" ht="24.9" customHeight="1" x14ac:dyDescent="0.3">
      <c r="A41" s="144" t="s">
        <v>65</v>
      </c>
      <c r="B41" s="145"/>
      <c r="C41" s="43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6"/>
    </row>
    <row r="42" spans="1:15" ht="24.9" customHeight="1" x14ac:dyDescent="0.3">
      <c r="A42" s="144" t="s">
        <v>66</v>
      </c>
      <c r="B42" s="145"/>
      <c r="C42" s="43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6"/>
    </row>
    <row r="43" spans="1:15" ht="24.9" customHeight="1" x14ac:dyDescent="0.3">
      <c r="A43" s="144" t="s">
        <v>67</v>
      </c>
      <c r="B43" s="145"/>
      <c r="C43" s="43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6"/>
    </row>
    <row r="44" spans="1:15" ht="24.9" customHeight="1" x14ac:dyDescent="0.3">
      <c r="A44" s="140"/>
      <c r="B44" s="141"/>
      <c r="C44" s="43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6"/>
    </row>
    <row r="45" spans="1:15" ht="24.9" customHeight="1" x14ac:dyDescent="0.3">
      <c r="A45" s="140"/>
      <c r="B45" s="141"/>
      <c r="C45" s="43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6"/>
    </row>
    <row r="46" spans="1:15" ht="24.9" customHeight="1" x14ac:dyDescent="0.3">
      <c r="A46" s="140"/>
      <c r="B46" s="141"/>
      <c r="C46" s="43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6"/>
    </row>
    <row r="47" spans="1:15" ht="24.9" customHeight="1" x14ac:dyDescent="0.3">
      <c r="A47" s="140"/>
      <c r="B47" s="141"/>
      <c r="C47" s="43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6"/>
    </row>
    <row r="48" spans="1:15" ht="24.9" customHeight="1" x14ac:dyDescent="0.3">
      <c r="A48" s="140"/>
      <c r="B48" s="141"/>
      <c r="C48" s="43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6"/>
    </row>
    <row r="49" spans="1:15" ht="24.9" customHeight="1" thickBot="1" x14ac:dyDescent="0.35">
      <c r="A49" s="142"/>
      <c r="B49" s="143"/>
      <c r="C49" s="44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7"/>
    </row>
    <row r="50" spans="1:15" ht="15" thickBot="1" x14ac:dyDescent="0.35">
      <c r="A50" s="133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</row>
    <row r="51" spans="1:15" ht="30" customHeight="1" x14ac:dyDescent="0.3">
      <c r="A51" s="134" t="s">
        <v>68</v>
      </c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6"/>
    </row>
    <row r="52" spans="1:15" ht="30" customHeight="1" x14ac:dyDescent="0.3">
      <c r="A52" s="137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9"/>
    </row>
    <row r="53" spans="1:15" ht="30" customHeight="1" thickBot="1" x14ac:dyDescent="0.35">
      <c r="A53" s="108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10"/>
    </row>
    <row r="54" spans="1:15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</row>
    <row r="55" spans="1:15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5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1:15" ht="30" customHeight="1" x14ac:dyDescent="0.35">
      <c r="A57" s="41" t="s">
        <v>69</v>
      </c>
      <c r="B57" s="39"/>
      <c r="C57" s="107"/>
      <c r="D57" s="107"/>
      <c r="E57" s="107"/>
      <c r="F57" s="107"/>
      <c r="G57" s="107"/>
      <c r="H57" s="40" t="s">
        <v>70</v>
      </c>
      <c r="I57" s="107"/>
      <c r="J57" s="107"/>
      <c r="K57" s="107"/>
      <c r="L57" s="107"/>
      <c r="M57" s="107"/>
      <c r="N57" s="107"/>
      <c r="O57" s="107"/>
    </row>
    <row r="58" spans="1:15" ht="30" customHeight="1" x14ac:dyDescent="0.35">
      <c r="A58" s="41" t="s">
        <v>71</v>
      </c>
      <c r="B58" s="39"/>
      <c r="C58" s="107"/>
      <c r="D58" s="107"/>
      <c r="E58" s="107"/>
      <c r="F58" s="107"/>
      <c r="G58" s="107"/>
      <c r="H58" s="40" t="s">
        <v>72</v>
      </c>
      <c r="I58" s="107"/>
      <c r="J58" s="107"/>
      <c r="K58" s="107"/>
      <c r="L58" s="107"/>
      <c r="M58" s="107"/>
      <c r="N58" s="107"/>
      <c r="O58" s="107"/>
    </row>
    <row r="59" spans="1:15" ht="30" customHeight="1" x14ac:dyDescent="0.35">
      <c r="A59" s="37"/>
      <c r="D59" s="17"/>
      <c r="E59" s="17"/>
      <c r="F59" s="17"/>
      <c r="G59" s="18"/>
      <c r="H59" s="19"/>
      <c r="J59" s="17"/>
      <c r="K59" s="17"/>
      <c r="L59" s="17"/>
      <c r="M59" s="17"/>
      <c r="N59" s="15"/>
      <c r="O59" s="3"/>
    </row>
    <row r="60" spans="1:15" ht="30" customHeight="1" x14ac:dyDescent="0.35">
      <c r="A60" s="106" t="s">
        <v>73</v>
      </c>
      <c r="B60" s="106"/>
      <c r="C60" s="107"/>
      <c r="D60" s="107"/>
      <c r="E60" s="107"/>
      <c r="F60" s="107"/>
      <c r="G60" s="107"/>
      <c r="H60" s="26"/>
      <c r="J60" s="18"/>
      <c r="K60" s="18"/>
      <c r="L60" s="18"/>
      <c r="M60" s="18"/>
      <c r="N60" s="18"/>
      <c r="O60" s="3"/>
    </row>
    <row r="61" spans="1:15" ht="30" customHeight="1" x14ac:dyDescent="0.35">
      <c r="A61" s="106" t="s">
        <v>74</v>
      </c>
      <c r="B61" s="106"/>
      <c r="C61" s="107"/>
      <c r="D61" s="107"/>
      <c r="E61" s="107"/>
      <c r="F61" s="107"/>
      <c r="G61" s="107"/>
      <c r="H61" s="40" t="s">
        <v>72</v>
      </c>
      <c r="I61" s="107"/>
      <c r="J61" s="107"/>
      <c r="K61" s="107"/>
      <c r="L61" s="107"/>
      <c r="M61" s="107"/>
      <c r="N61" s="107"/>
      <c r="O61" s="107"/>
    </row>
    <row r="62" spans="1:15" ht="30" customHeight="1" x14ac:dyDescent="0.3">
      <c r="A62" s="38"/>
      <c r="B62" s="1"/>
      <c r="D62" s="17"/>
      <c r="E62" s="17"/>
      <c r="F62" s="17"/>
      <c r="G62" s="17"/>
      <c r="H62" s="26"/>
      <c r="J62" s="17"/>
      <c r="K62" s="17"/>
      <c r="L62" s="17"/>
      <c r="M62" s="17"/>
      <c r="N62" s="17"/>
      <c r="O62" s="1"/>
    </row>
    <row r="63" spans="1:15" ht="30" customHeight="1" x14ac:dyDescent="0.4">
      <c r="A63" s="106" t="s">
        <v>73</v>
      </c>
      <c r="B63" s="106"/>
      <c r="C63" s="107"/>
      <c r="D63" s="107"/>
      <c r="E63" s="107"/>
      <c r="F63" s="107"/>
      <c r="G63" s="107"/>
      <c r="H63" s="27"/>
      <c r="J63" s="17"/>
      <c r="K63" s="17"/>
      <c r="L63" s="17"/>
      <c r="M63" s="18"/>
      <c r="N63" s="18"/>
      <c r="O63" s="3"/>
    </row>
    <row r="64" spans="1:15" ht="30" customHeight="1" x14ac:dyDescent="0.35">
      <c r="A64" s="106" t="s">
        <v>74</v>
      </c>
      <c r="B64" s="106"/>
      <c r="C64" s="107"/>
      <c r="D64" s="107"/>
      <c r="E64" s="107"/>
      <c r="F64" s="107"/>
      <c r="G64" s="107"/>
      <c r="H64" s="40" t="s">
        <v>72</v>
      </c>
      <c r="I64" s="107"/>
      <c r="J64" s="107"/>
      <c r="K64" s="107"/>
      <c r="L64" s="107"/>
      <c r="M64" s="107"/>
      <c r="N64" s="107"/>
      <c r="O64" s="107"/>
    </row>
    <row r="74" spans="13:13" x14ac:dyDescent="0.3">
      <c r="M74" s="2"/>
    </row>
  </sheetData>
  <mergeCells count="217">
    <mergeCell ref="A1:O1"/>
    <mergeCell ref="B2:E2"/>
    <mergeCell ref="F2:G2"/>
    <mergeCell ref="H2:J2"/>
    <mergeCell ref="L2:O2"/>
    <mergeCell ref="D5:F5"/>
    <mergeCell ref="G5:H5"/>
    <mergeCell ref="I5:J5"/>
    <mergeCell ref="L5:M5"/>
    <mergeCell ref="A12:B12"/>
    <mergeCell ref="N6:O6"/>
    <mergeCell ref="D6:F6"/>
    <mergeCell ref="G6:H6"/>
    <mergeCell ref="B3:E3"/>
    <mergeCell ref="F3:G3"/>
    <mergeCell ref="H3:O3"/>
    <mergeCell ref="B4:C4"/>
    <mergeCell ref="D4:E4"/>
    <mergeCell ref="F4:G4"/>
    <mergeCell ref="I4:M4"/>
    <mergeCell ref="F18:H18"/>
    <mergeCell ref="I18:K18"/>
    <mergeCell ref="D19:E19"/>
    <mergeCell ref="F19:H19"/>
    <mergeCell ref="I19:K19"/>
    <mergeCell ref="L19:N19"/>
    <mergeCell ref="A14:O14"/>
    <mergeCell ref="A15:O15"/>
    <mergeCell ref="A16:B19"/>
    <mergeCell ref="C16:E17"/>
    <mergeCell ref="L16:N17"/>
    <mergeCell ref="O16:O17"/>
    <mergeCell ref="D18:E18"/>
    <mergeCell ref="A20:B20"/>
    <mergeCell ref="D20:E20"/>
    <mergeCell ref="F20:H20"/>
    <mergeCell ref="I20:K20"/>
    <mergeCell ref="L20:N20"/>
    <mergeCell ref="A21:B21"/>
    <mergeCell ref="D21:E21"/>
    <mergeCell ref="F21:H21"/>
    <mergeCell ref="I21:K21"/>
    <mergeCell ref="L21:N21"/>
    <mergeCell ref="A22:B22"/>
    <mergeCell ref="D22:E22"/>
    <mergeCell ref="F22:H22"/>
    <mergeCell ref="I22:K22"/>
    <mergeCell ref="L22:N22"/>
    <mergeCell ref="A23:B23"/>
    <mergeCell ref="D23:E23"/>
    <mergeCell ref="F23:H23"/>
    <mergeCell ref="I23:K23"/>
    <mergeCell ref="L23:N23"/>
    <mergeCell ref="A24:B24"/>
    <mergeCell ref="D24:E24"/>
    <mergeCell ref="F24:H24"/>
    <mergeCell ref="I24:K24"/>
    <mergeCell ref="L24:N24"/>
    <mergeCell ref="A25:B25"/>
    <mergeCell ref="D25:E25"/>
    <mergeCell ref="F25:H25"/>
    <mergeCell ref="I25:K25"/>
    <mergeCell ref="L25:N25"/>
    <mergeCell ref="A26:B26"/>
    <mergeCell ref="D26:E26"/>
    <mergeCell ref="F26:H26"/>
    <mergeCell ref="I26:K26"/>
    <mergeCell ref="L26:N26"/>
    <mergeCell ref="A27:B27"/>
    <mergeCell ref="D27:E27"/>
    <mergeCell ref="F27:H27"/>
    <mergeCell ref="I27:K27"/>
    <mergeCell ref="L27:N27"/>
    <mergeCell ref="A28:B28"/>
    <mergeCell ref="D28:E28"/>
    <mergeCell ref="F28:H28"/>
    <mergeCell ref="I28:K28"/>
    <mergeCell ref="L28:N28"/>
    <mergeCell ref="A29:B29"/>
    <mergeCell ref="D29:E29"/>
    <mergeCell ref="F29:H29"/>
    <mergeCell ref="I29:K29"/>
    <mergeCell ref="L29:N29"/>
    <mergeCell ref="A30:B30"/>
    <mergeCell ref="D30:E30"/>
    <mergeCell ref="F30:H30"/>
    <mergeCell ref="I30:K30"/>
    <mergeCell ref="L30:N30"/>
    <mergeCell ref="A31:B31"/>
    <mergeCell ref="D31:E31"/>
    <mergeCell ref="F31:H31"/>
    <mergeCell ref="I31:K31"/>
    <mergeCell ref="L31:N31"/>
    <mergeCell ref="A32:B32"/>
    <mergeCell ref="D32:E32"/>
    <mergeCell ref="F32:H32"/>
    <mergeCell ref="I32:K32"/>
    <mergeCell ref="L32:N32"/>
    <mergeCell ref="A33:B33"/>
    <mergeCell ref="D33:E33"/>
    <mergeCell ref="F33:H33"/>
    <mergeCell ref="I33:K33"/>
    <mergeCell ref="L33:N33"/>
    <mergeCell ref="A34:B34"/>
    <mergeCell ref="D34:E34"/>
    <mergeCell ref="F34:H34"/>
    <mergeCell ref="I34:K34"/>
    <mergeCell ref="L34:N34"/>
    <mergeCell ref="A35:B35"/>
    <mergeCell ref="D35:E35"/>
    <mergeCell ref="F35:H35"/>
    <mergeCell ref="I35:K35"/>
    <mergeCell ref="L35:N35"/>
    <mergeCell ref="A36:B36"/>
    <mergeCell ref="D36:E36"/>
    <mergeCell ref="F36:H36"/>
    <mergeCell ref="I36:K36"/>
    <mergeCell ref="L36:N36"/>
    <mergeCell ref="A37:B37"/>
    <mergeCell ref="D37:E37"/>
    <mergeCell ref="F37:H37"/>
    <mergeCell ref="I37:K37"/>
    <mergeCell ref="L37:N37"/>
    <mergeCell ref="A38:B38"/>
    <mergeCell ref="D38:E38"/>
    <mergeCell ref="F38:H38"/>
    <mergeCell ref="I38:K38"/>
    <mergeCell ref="L38:N38"/>
    <mergeCell ref="A39:B39"/>
    <mergeCell ref="D39:E39"/>
    <mergeCell ref="F39:H39"/>
    <mergeCell ref="I39:K39"/>
    <mergeCell ref="L39:N39"/>
    <mergeCell ref="A40:B40"/>
    <mergeCell ref="D40:E40"/>
    <mergeCell ref="F40:H40"/>
    <mergeCell ref="I40:K40"/>
    <mergeCell ref="L40:N40"/>
    <mergeCell ref="A41:B41"/>
    <mergeCell ref="D41:E41"/>
    <mergeCell ref="F41:H41"/>
    <mergeCell ref="I41:K41"/>
    <mergeCell ref="L41:N41"/>
    <mergeCell ref="A42:B42"/>
    <mergeCell ref="D42:E42"/>
    <mergeCell ref="F42:H42"/>
    <mergeCell ref="I42:K42"/>
    <mergeCell ref="L42:N42"/>
    <mergeCell ref="A43:B43"/>
    <mergeCell ref="D43:E43"/>
    <mergeCell ref="F43:H43"/>
    <mergeCell ref="I43:K43"/>
    <mergeCell ref="L43:N43"/>
    <mergeCell ref="A44:B44"/>
    <mergeCell ref="D44:E44"/>
    <mergeCell ref="F44:H44"/>
    <mergeCell ref="I44:K44"/>
    <mergeCell ref="L44:N44"/>
    <mergeCell ref="A45:B45"/>
    <mergeCell ref="D45:E45"/>
    <mergeCell ref="F45:H45"/>
    <mergeCell ref="I45:K45"/>
    <mergeCell ref="L45:N45"/>
    <mergeCell ref="L48:N48"/>
    <mergeCell ref="A49:B49"/>
    <mergeCell ref="D49:E49"/>
    <mergeCell ref="F49:H49"/>
    <mergeCell ref="I49:K49"/>
    <mergeCell ref="L49:N49"/>
    <mergeCell ref="A46:B46"/>
    <mergeCell ref="D46:E46"/>
    <mergeCell ref="F46:H46"/>
    <mergeCell ref="I46:K46"/>
    <mergeCell ref="L46:N46"/>
    <mergeCell ref="A47:B47"/>
    <mergeCell ref="D47:E47"/>
    <mergeCell ref="F47:H47"/>
    <mergeCell ref="I47:K47"/>
    <mergeCell ref="L47:N47"/>
    <mergeCell ref="A53:O53"/>
    <mergeCell ref="A13:B13"/>
    <mergeCell ref="I6:K6"/>
    <mergeCell ref="F16:K17"/>
    <mergeCell ref="A8:F8"/>
    <mergeCell ref="G8:O8"/>
    <mergeCell ref="K9:N9"/>
    <mergeCell ref="K10:N10"/>
    <mergeCell ref="K11:N11"/>
    <mergeCell ref="G12:N12"/>
    <mergeCell ref="G11:I11"/>
    <mergeCell ref="A7:O7"/>
    <mergeCell ref="G9:I9"/>
    <mergeCell ref="G10:I10"/>
    <mergeCell ref="A9:C9"/>
    <mergeCell ref="A10:C10"/>
    <mergeCell ref="A11:C11"/>
    <mergeCell ref="A50:O50"/>
    <mergeCell ref="A51:O51"/>
    <mergeCell ref="A52:O52"/>
    <mergeCell ref="A48:B48"/>
    <mergeCell ref="D48:E48"/>
    <mergeCell ref="F48:H48"/>
    <mergeCell ref="I48:K48"/>
    <mergeCell ref="A60:B60"/>
    <mergeCell ref="A61:B61"/>
    <mergeCell ref="A63:B63"/>
    <mergeCell ref="A64:B64"/>
    <mergeCell ref="I57:O57"/>
    <mergeCell ref="I58:O58"/>
    <mergeCell ref="I61:O61"/>
    <mergeCell ref="I64:O64"/>
    <mergeCell ref="C57:G57"/>
    <mergeCell ref="C58:G58"/>
    <mergeCell ref="C60:G60"/>
    <mergeCell ref="C61:G61"/>
    <mergeCell ref="C63:G63"/>
    <mergeCell ref="C64:G64"/>
  </mergeCells>
  <pageMargins left="0.43307086614173229" right="0.31496062992125984" top="0.94488188976377963" bottom="0.74803149606299213" header="0.31496062992125984" footer="0.31496062992125984"/>
  <pageSetup paperSize="8" scale="58" orientation="portrait" r:id="rId1"/>
  <headerFooter>
    <oddHeader xml:space="preserve">&amp;L&amp;G&amp;R&amp;"-,Bold"&amp;14Instrument Cable Inspection &amp; Test Report </oddHeader>
    <oddFooter xml:space="preserve">&amp;L&amp;"-,Bold"&amp;14Document Number: PWR-FRM-023&amp;C&amp;"-,Bold"&amp;14Date: September 2018, REV:0&amp;R&amp;"-,Bold"&amp;14Page &amp;P of &amp;N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BB5AE-A6AD-45F5-909F-C77D6F80D6B0}">
  <sheetPr codeName="Sheet2">
    <pageSetUpPr fitToPage="1"/>
  </sheetPr>
  <dimension ref="A1:T74"/>
  <sheetViews>
    <sheetView zoomScale="85" zoomScaleNormal="85" workbookViewId="0">
      <selection activeCell="G11" sqref="G11:I11"/>
    </sheetView>
  </sheetViews>
  <sheetFormatPr defaultColWidth="9.109375" defaultRowHeight="14.4" x14ac:dyDescent="0.3"/>
  <cols>
    <col min="1" max="1" width="14.6640625" customWidth="1"/>
    <col min="2" max="2" width="17.88671875" customWidth="1"/>
    <col min="3" max="3" width="28.6640625" customWidth="1"/>
    <col min="4" max="4" width="9.33203125" customWidth="1"/>
    <col min="5" max="5" width="17.88671875" customWidth="1"/>
    <col min="8" max="8" width="14.6640625" customWidth="1"/>
    <col min="9" max="9" width="11.5546875" customWidth="1"/>
    <col min="10" max="10" width="11.109375" customWidth="1"/>
    <col min="11" max="11" width="12.88671875" customWidth="1"/>
    <col min="12" max="12" width="11.44140625" customWidth="1"/>
    <col min="13" max="13" width="13.44140625" customWidth="1"/>
    <col min="14" max="14" width="14.44140625" customWidth="1"/>
    <col min="15" max="15" width="26.33203125" customWidth="1"/>
  </cols>
  <sheetData>
    <row r="1" spans="1:15" ht="24.6" x14ac:dyDescent="0.3">
      <c r="A1" s="176" t="s">
        <v>75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8"/>
    </row>
    <row r="2" spans="1:15" ht="36" customHeight="1" x14ac:dyDescent="0.3">
      <c r="A2" s="11" t="s">
        <v>1</v>
      </c>
      <c r="B2" s="167" t="s">
        <v>508</v>
      </c>
      <c r="C2" s="167"/>
      <c r="D2" s="167"/>
      <c r="E2" s="167"/>
      <c r="F2" s="167" t="s">
        <v>2</v>
      </c>
      <c r="G2" s="167"/>
      <c r="H2" s="168" t="s">
        <v>509</v>
      </c>
      <c r="I2" s="169"/>
      <c r="J2" s="179"/>
      <c r="K2" s="49" t="s">
        <v>3</v>
      </c>
      <c r="L2" s="180" t="s">
        <v>510</v>
      </c>
      <c r="M2" s="181"/>
      <c r="N2" s="181"/>
      <c r="O2" s="182"/>
    </row>
    <row r="3" spans="1:15" ht="35.1" customHeight="1" x14ac:dyDescent="0.3">
      <c r="A3" s="11" t="s">
        <v>4</v>
      </c>
      <c r="B3" s="167"/>
      <c r="C3" s="167"/>
      <c r="D3" s="167"/>
      <c r="E3" s="167"/>
      <c r="F3" s="167" t="s">
        <v>5</v>
      </c>
      <c r="G3" s="167"/>
      <c r="H3" s="168"/>
      <c r="I3" s="169"/>
      <c r="J3" s="169"/>
      <c r="K3" s="169"/>
      <c r="L3" s="169"/>
      <c r="M3" s="169"/>
      <c r="N3" s="169"/>
      <c r="O3" s="170"/>
    </row>
    <row r="4" spans="1:15" ht="36" customHeight="1" x14ac:dyDescent="0.3">
      <c r="A4" s="11" t="s">
        <v>6</v>
      </c>
      <c r="B4" s="171" t="s">
        <v>198</v>
      </c>
      <c r="C4" s="172"/>
      <c r="D4" s="167" t="s">
        <v>7</v>
      </c>
      <c r="E4" s="167"/>
      <c r="F4" s="173"/>
      <c r="G4" s="174"/>
      <c r="H4" s="49" t="s">
        <v>8</v>
      </c>
      <c r="I4" s="171" t="s">
        <v>197</v>
      </c>
      <c r="J4" s="175"/>
      <c r="K4" s="175"/>
      <c r="L4" s="175"/>
      <c r="M4" s="172"/>
      <c r="N4" s="49" t="s">
        <v>7</v>
      </c>
      <c r="O4" s="12"/>
    </row>
    <row r="5" spans="1:15" ht="51" customHeight="1" x14ac:dyDescent="0.3">
      <c r="A5" s="11" t="s">
        <v>9</v>
      </c>
      <c r="B5" s="45" t="s">
        <v>199</v>
      </c>
      <c r="C5" s="49" t="s">
        <v>10</v>
      </c>
      <c r="D5" s="168" t="s">
        <v>194</v>
      </c>
      <c r="E5" s="183"/>
      <c r="F5" s="174"/>
      <c r="G5" s="167" t="s">
        <v>11</v>
      </c>
      <c r="H5" s="167"/>
      <c r="I5" s="168">
        <v>1.5</v>
      </c>
      <c r="J5" s="179"/>
      <c r="K5" s="49" t="s">
        <v>12</v>
      </c>
      <c r="L5" s="168">
        <v>15</v>
      </c>
      <c r="M5" s="179"/>
      <c r="N5" s="49" t="s">
        <v>13</v>
      </c>
      <c r="O5" s="12" t="s">
        <v>196</v>
      </c>
    </row>
    <row r="6" spans="1:15" ht="54.75" customHeight="1" thickBot="1" x14ac:dyDescent="0.35">
      <c r="A6" s="13" t="s">
        <v>14</v>
      </c>
      <c r="B6" s="14"/>
      <c r="C6" s="48" t="s">
        <v>15</v>
      </c>
      <c r="D6" s="163"/>
      <c r="E6" s="164"/>
      <c r="F6" s="165"/>
      <c r="G6" s="166" t="s">
        <v>16</v>
      </c>
      <c r="H6" s="166"/>
      <c r="I6" s="113"/>
      <c r="J6" s="114"/>
      <c r="K6" s="114"/>
      <c r="L6" s="24"/>
      <c r="M6" s="25"/>
      <c r="N6" s="113"/>
      <c r="O6" s="162"/>
    </row>
    <row r="7" spans="1:15" ht="30" customHeight="1" thickBot="1" x14ac:dyDescent="0.35">
      <c r="A7" s="132" t="s">
        <v>17</v>
      </c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</row>
    <row r="8" spans="1:15" ht="24.9" customHeight="1" x14ac:dyDescent="0.3">
      <c r="A8" s="121" t="s">
        <v>18</v>
      </c>
      <c r="B8" s="122"/>
      <c r="C8" s="122"/>
      <c r="D8" s="122"/>
      <c r="E8" s="122"/>
      <c r="F8" s="123"/>
      <c r="G8" s="124" t="s">
        <v>19</v>
      </c>
      <c r="H8" s="125"/>
      <c r="I8" s="125"/>
      <c r="J8" s="125"/>
      <c r="K8" s="125"/>
      <c r="L8" s="125"/>
      <c r="M8" s="125"/>
      <c r="N8" s="125"/>
      <c r="O8" s="126"/>
    </row>
    <row r="9" spans="1:15" ht="39.9" customHeight="1" x14ac:dyDescent="0.3">
      <c r="A9" s="131" t="s">
        <v>20</v>
      </c>
      <c r="B9" s="128"/>
      <c r="C9" s="128"/>
      <c r="D9" s="33" t="s">
        <v>21</v>
      </c>
      <c r="E9" s="10"/>
      <c r="F9" s="8"/>
      <c r="G9" s="131" t="s">
        <v>22</v>
      </c>
      <c r="H9" s="128"/>
      <c r="I9" s="128"/>
      <c r="J9" s="33" t="s">
        <v>21</v>
      </c>
      <c r="K9" s="127" t="s">
        <v>23</v>
      </c>
      <c r="L9" s="127"/>
      <c r="M9" s="127"/>
      <c r="N9" s="127"/>
      <c r="O9" s="34" t="s">
        <v>21</v>
      </c>
    </row>
    <row r="10" spans="1:15" ht="39.9" customHeight="1" x14ac:dyDescent="0.3">
      <c r="A10" s="131" t="s">
        <v>24</v>
      </c>
      <c r="B10" s="128"/>
      <c r="C10" s="128"/>
      <c r="D10" s="33" t="s">
        <v>21</v>
      </c>
      <c r="E10" s="10"/>
      <c r="F10" s="8"/>
      <c r="G10" s="131" t="s">
        <v>25</v>
      </c>
      <c r="H10" s="128"/>
      <c r="I10" s="128"/>
      <c r="J10" s="33" t="s">
        <v>21</v>
      </c>
      <c r="K10" s="128" t="s">
        <v>26</v>
      </c>
      <c r="L10" s="128"/>
      <c r="M10" s="128"/>
      <c r="N10" s="128"/>
      <c r="O10" s="34" t="s">
        <v>21</v>
      </c>
    </row>
    <row r="11" spans="1:15" ht="39.9" customHeight="1" x14ac:dyDescent="0.3">
      <c r="A11" s="131" t="s">
        <v>27</v>
      </c>
      <c r="B11" s="128"/>
      <c r="C11" s="128"/>
      <c r="D11" s="33" t="s">
        <v>21</v>
      </c>
      <c r="E11" s="10"/>
      <c r="F11" s="8"/>
      <c r="G11" s="131" t="s">
        <v>28</v>
      </c>
      <c r="H11" s="128"/>
      <c r="I11" s="128"/>
      <c r="J11" s="33" t="s">
        <v>21</v>
      </c>
      <c r="K11" s="128" t="s">
        <v>29</v>
      </c>
      <c r="L11" s="128"/>
      <c r="M11" s="128"/>
      <c r="N11" s="128"/>
      <c r="O11" s="34" t="s">
        <v>21</v>
      </c>
    </row>
    <row r="12" spans="1:15" ht="39.9" customHeight="1" x14ac:dyDescent="0.3">
      <c r="A12" s="160"/>
      <c r="B12" s="161"/>
      <c r="C12" s="47"/>
      <c r="D12" s="47"/>
      <c r="E12" s="47"/>
      <c r="F12" s="35"/>
      <c r="G12" s="129" t="s">
        <v>30</v>
      </c>
      <c r="H12" s="130"/>
      <c r="I12" s="130"/>
      <c r="J12" s="130"/>
      <c r="K12" s="130"/>
      <c r="L12" s="130"/>
      <c r="M12" s="130"/>
      <c r="N12" s="130"/>
      <c r="O12" s="34" t="s">
        <v>21</v>
      </c>
    </row>
    <row r="13" spans="1:15" ht="18" thickBot="1" x14ac:dyDescent="0.35">
      <c r="A13" s="111" t="s">
        <v>31</v>
      </c>
      <c r="B13" s="112"/>
      <c r="C13" s="42" t="s">
        <v>32</v>
      </c>
      <c r="D13" s="42" t="s">
        <v>33</v>
      </c>
      <c r="E13" s="16"/>
      <c r="F13" s="36"/>
      <c r="G13" s="21" t="s">
        <v>31</v>
      </c>
      <c r="H13" s="22"/>
      <c r="I13" s="20"/>
      <c r="J13" s="23" t="s">
        <v>32</v>
      </c>
      <c r="K13" s="22"/>
      <c r="L13" s="42"/>
      <c r="M13" s="22" t="s">
        <v>33</v>
      </c>
      <c r="N13" s="9"/>
      <c r="O13" s="36"/>
    </row>
    <row r="14" spans="1:15" ht="15" thickBot="1" x14ac:dyDescent="0.35">
      <c r="A14" s="150"/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</row>
    <row r="15" spans="1:15" ht="22.5" customHeight="1" x14ac:dyDescent="0.3">
      <c r="A15" s="151" t="s">
        <v>34</v>
      </c>
      <c r="B15" s="152"/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3"/>
    </row>
    <row r="16" spans="1:15" ht="15" customHeight="1" x14ac:dyDescent="0.3">
      <c r="A16" s="154" t="s">
        <v>35</v>
      </c>
      <c r="B16" s="149"/>
      <c r="C16" s="149" t="s">
        <v>36</v>
      </c>
      <c r="D16" s="149"/>
      <c r="E16" s="149"/>
      <c r="F16" s="115" t="s">
        <v>37</v>
      </c>
      <c r="G16" s="116"/>
      <c r="H16" s="116"/>
      <c r="I16" s="116"/>
      <c r="J16" s="116"/>
      <c r="K16" s="117"/>
      <c r="L16" s="115" t="s">
        <v>38</v>
      </c>
      <c r="M16" s="116"/>
      <c r="N16" s="117"/>
      <c r="O16" s="158" t="s">
        <v>39</v>
      </c>
    </row>
    <row r="17" spans="1:20" ht="15" customHeight="1" x14ac:dyDescent="0.3">
      <c r="A17" s="154"/>
      <c r="B17" s="149"/>
      <c r="C17" s="149"/>
      <c r="D17" s="149"/>
      <c r="E17" s="149"/>
      <c r="F17" s="118"/>
      <c r="G17" s="119"/>
      <c r="H17" s="119"/>
      <c r="I17" s="119"/>
      <c r="J17" s="119"/>
      <c r="K17" s="120"/>
      <c r="L17" s="155"/>
      <c r="M17" s="156"/>
      <c r="N17" s="157"/>
      <c r="O17" s="159"/>
    </row>
    <row r="18" spans="1:20" ht="20.399999999999999" x14ac:dyDescent="0.3">
      <c r="A18" s="154"/>
      <c r="B18" s="149"/>
      <c r="C18" s="46" t="s">
        <v>40</v>
      </c>
      <c r="D18" s="149" t="s">
        <v>41</v>
      </c>
      <c r="E18" s="149"/>
      <c r="F18" s="146" t="s">
        <v>40</v>
      </c>
      <c r="G18" s="147"/>
      <c r="H18" s="148"/>
      <c r="I18" s="146" t="s">
        <v>41</v>
      </c>
      <c r="J18" s="147"/>
      <c r="K18" s="148"/>
      <c r="L18" s="28"/>
      <c r="M18" s="29"/>
      <c r="N18" s="30"/>
      <c r="O18" s="31"/>
    </row>
    <row r="19" spans="1:20" ht="20.399999999999999" x14ac:dyDescent="0.3">
      <c r="A19" s="154"/>
      <c r="B19" s="149"/>
      <c r="C19" s="46" t="s">
        <v>42</v>
      </c>
      <c r="D19" s="149" t="s">
        <v>42</v>
      </c>
      <c r="E19" s="149"/>
      <c r="F19" s="149" t="s">
        <v>42</v>
      </c>
      <c r="G19" s="149"/>
      <c r="H19" s="149"/>
      <c r="I19" s="149" t="s">
        <v>42</v>
      </c>
      <c r="J19" s="149"/>
      <c r="K19" s="149"/>
      <c r="L19" s="149" t="s">
        <v>43</v>
      </c>
      <c r="M19" s="149"/>
      <c r="N19" s="149"/>
      <c r="O19" s="32" t="s">
        <v>43</v>
      </c>
      <c r="P19" s="5"/>
      <c r="Q19" s="5"/>
      <c r="R19" s="5"/>
      <c r="S19" s="5"/>
      <c r="T19" s="5"/>
    </row>
    <row r="20" spans="1:20" ht="24.9" customHeight="1" x14ac:dyDescent="0.3">
      <c r="A20" s="144">
        <v>1</v>
      </c>
      <c r="B20" s="145"/>
      <c r="C20" s="43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6"/>
    </row>
    <row r="21" spans="1:20" ht="24.9" customHeight="1" x14ac:dyDescent="0.3">
      <c r="A21" s="144">
        <v>2</v>
      </c>
      <c r="B21" s="145"/>
      <c r="C21" s="43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6"/>
    </row>
    <row r="22" spans="1:20" ht="24.9" customHeight="1" x14ac:dyDescent="0.3">
      <c r="A22" s="144">
        <v>3</v>
      </c>
      <c r="B22" s="145"/>
      <c r="C22" s="43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6"/>
    </row>
    <row r="23" spans="1:20" ht="24.9" customHeight="1" x14ac:dyDescent="0.3">
      <c r="A23" s="144">
        <v>4</v>
      </c>
      <c r="B23" s="145"/>
      <c r="C23" s="43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6"/>
    </row>
    <row r="24" spans="1:20" ht="24.9" customHeight="1" x14ac:dyDescent="0.3">
      <c r="A24" s="144">
        <v>5</v>
      </c>
      <c r="B24" s="145"/>
      <c r="C24" s="4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6"/>
    </row>
    <row r="25" spans="1:20" ht="24.9" customHeight="1" x14ac:dyDescent="0.3">
      <c r="A25" s="144">
        <v>6</v>
      </c>
      <c r="B25" s="145"/>
      <c r="C25" s="43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6"/>
    </row>
    <row r="26" spans="1:20" ht="24.9" customHeight="1" x14ac:dyDescent="0.3">
      <c r="A26" s="144">
        <v>7</v>
      </c>
      <c r="B26" s="145"/>
      <c r="C26" s="43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6"/>
    </row>
    <row r="27" spans="1:20" ht="24.9" customHeight="1" x14ac:dyDescent="0.3">
      <c r="A27" s="144">
        <v>8</v>
      </c>
      <c r="B27" s="145"/>
      <c r="C27" s="43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6"/>
    </row>
    <row r="28" spans="1:20" ht="24.9" customHeight="1" x14ac:dyDescent="0.3">
      <c r="A28" s="144">
        <v>9</v>
      </c>
      <c r="B28" s="145"/>
      <c r="C28" s="43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6"/>
    </row>
    <row r="29" spans="1:20" ht="24.9" customHeight="1" x14ac:dyDescent="0.3">
      <c r="A29" s="144">
        <v>10</v>
      </c>
      <c r="B29" s="145"/>
      <c r="C29" s="43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6"/>
    </row>
    <row r="30" spans="1:20" ht="24.9" customHeight="1" x14ac:dyDescent="0.3">
      <c r="A30" s="144">
        <v>11</v>
      </c>
      <c r="B30" s="145"/>
      <c r="C30" s="43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6"/>
    </row>
    <row r="31" spans="1:20" ht="24.9" customHeight="1" x14ac:dyDescent="0.3">
      <c r="A31" s="144">
        <v>12</v>
      </c>
      <c r="B31" s="145"/>
      <c r="C31" s="43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6"/>
    </row>
    <row r="32" spans="1:20" ht="24.9" customHeight="1" x14ac:dyDescent="0.3">
      <c r="A32" s="144"/>
      <c r="B32" s="145"/>
      <c r="C32" s="43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6"/>
    </row>
    <row r="33" spans="1:15" ht="24.9" customHeight="1" x14ac:dyDescent="0.3">
      <c r="A33" s="144"/>
      <c r="B33" s="145"/>
      <c r="C33" s="43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6"/>
    </row>
    <row r="34" spans="1:15" ht="24.9" customHeight="1" x14ac:dyDescent="0.3">
      <c r="A34" s="144"/>
      <c r="B34" s="145"/>
      <c r="C34" s="4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6"/>
    </row>
    <row r="35" spans="1:15" ht="24.9" customHeight="1" x14ac:dyDescent="0.3">
      <c r="A35" s="144"/>
      <c r="B35" s="145"/>
      <c r="C35" s="4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6"/>
    </row>
    <row r="36" spans="1:15" ht="24.9" customHeight="1" x14ac:dyDescent="0.3">
      <c r="A36" s="144"/>
      <c r="B36" s="145"/>
      <c r="C36" s="4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6"/>
    </row>
    <row r="37" spans="1:15" ht="24.9" customHeight="1" x14ac:dyDescent="0.3">
      <c r="A37" s="144"/>
      <c r="B37" s="145"/>
      <c r="C37" s="43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6"/>
    </row>
    <row r="38" spans="1:15" ht="24.9" customHeight="1" x14ac:dyDescent="0.3">
      <c r="A38" s="144"/>
      <c r="B38" s="145"/>
      <c r="C38" s="43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6"/>
    </row>
    <row r="39" spans="1:15" ht="24.9" customHeight="1" x14ac:dyDescent="0.3">
      <c r="A39" s="144"/>
      <c r="B39" s="145"/>
      <c r="C39" s="43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6"/>
    </row>
    <row r="40" spans="1:15" ht="24.9" customHeight="1" x14ac:dyDescent="0.3">
      <c r="A40" s="144"/>
      <c r="B40" s="145"/>
      <c r="C40" s="43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6"/>
    </row>
    <row r="41" spans="1:15" ht="24.9" customHeight="1" x14ac:dyDescent="0.3">
      <c r="A41" s="144"/>
      <c r="B41" s="145"/>
      <c r="C41" s="43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6"/>
    </row>
    <row r="42" spans="1:15" ht="24.9" customHeight="1" x14ac:dyDescent="0.3">
      <c r="A42" s="144"/>
      <c r="B42" s="145"/>
      <c r="C42" s="43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6"/>
    </row>
    <row r="43" spans="1:15" ht="24.9" customHeight="1" x14ac:dyDescent="0.3">
      <c r="A43" s="144"/>
      <c r="B43" s="145"/>
      <c r="C43" s="43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6"/>
    </row>
    <row r="44" spans="1:15" ht="24.9" customHeight="1" x14ac:dyDescent="0.3">
      <c r="A44" s="140"/>
      <c r="B44" s="141"/>
      <c r="C44" s="43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6"/>
    </row>
    <row r="45" spans="1:15" ht="24.9" customHeight="1" x14ac:dyDescent="0.3">
      <c r="A45" s="140"/>
      <c r="B45" s="141"/>
      <c r="C45" s="43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6"/>
    </row>
    <row r="46" spans="1:15" ht="24.9" customHeight="1" x14ac:dyDescent="0.3">
      <c r="A46" s="140"/>
      <c r="B46" s="141"/>
      <c r="C46" s="43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6"/>
    </row>
    <row r="47" spans="1:15" ht="24.9" customHeight="1" x14ac:dyDescent="0.3">
      <c r="A47" s="140"/>
      <c r="B47" s="141"/>
      <c r="C47" s="43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6"/>
    </row>
    <row r="48" spans="1:15" ht="24.9" customHeight="1" x14ac:dyDescent="0.3">
      <c r="A48" s="140"/>
      <c r="B48" s="141"/>
      <c r="C48" s="43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6"/>
    </row>
    <row r="49" spans="1:15" ht="24.9" customHeight="1" thickBot="1" x14ac:dyDescent="0.35">
      <c r="A49" s="142"/>
      <c r="B49" s="143"/>
      <c r="C49" s="44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7"/>
    </row>
    <row r="50" spans="1:15" ht="15" thickBot="1" x14ac:dyDescent="0.35">
      <c r="A50" s="133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</row>
    <row r="51" spans="1:15" ht="30" customHeight="1" x14ac:dyDescent="0.3">
      <c r="A51" s="134" t="s">
        <v>68</v>
      </c>
      <c r="B51" s="135"/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6"/>
    </row>
    <row r="52" spans="1:15" ht="30" customHeight="1" x14ac:dyDescent="0.3">
      <c r="A52" s="137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9"/>
    </row>
    <row r="53" spans="1:15" ht="30" customHeight="1" thickBot="1" x14ac:dyDescent="0.35">
      <c r="A53" s="108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10"/>
    </row>
    <row r="54" spans="1:15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</row>
    <row r="55" spans="1:15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5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1:15" ht="30" customHeight="1" x14ac:dyDescent="0.35">
      <c r="A57" s="41" t="s">
        <v>69</v>
      </c>
      <c r="B57" s="39"/>
      <c r="C57" s="107"/>
      <c r="D57" s="107"/>
      <c r="E57" s="107"/>
      <c r="F57" s="107"/>
      <c r="G57" s="107"/>
      <c r="H57" s="40" t="s">
        <v>70</v>
      </c>
      <c r="I57" s="107"/>
      <c r="J57" s="107"/>
      <c r="K57" s="107"/>
      <c r="L57" s="107"/>
      <c r="M57" s="107"/>
      <c r="N57" s="107"/>
      <c r="O57" s="107"/>
    </row>
    <row r="58" spans="1:15" ht="30" customHeight="1" x14ac:dyDescent="0.35">
      <c r="A58" s="41" t="s">
        <v>71</v>
      </c>
      <c r="B58" s="39"/>
      <c r="C58" s="107"/>
      <c r="D58" s="107"/>
      <c r="E58" s="107"/>
      <c r="F58" s="107"/>
      <c r="G58" s="107"/>
      <c r="H58" s="40" t="s">
        <v>72</v>
      </c>
      <c r="I58" s="107"/>
      <c r="J58" s="107"/>
      <c r="K58" s="107"/>
      <c r="L58" s="107"/>
      <c r="M58" s="107"/>
      <c r="N58" s="107"/>
      <c r="O58" s="107"/>
    </row>
    <row r="59" spans="1:15" ht="30" customHeight="1" x14ac:dyDescent="0.35">
      <c r="A59" s="37"/>
      <c r="D59" s="17"/>
      <c r="E59" s="17"/>
      <c r="F59" s="17"/>
      <c r="G59" s="18"/>
      <c r="H59" s="19"/>
      <c r="J59" s="17"/>
      <c r="K59" s="17"/>
      <c r="L59" s="17"/>
      <c r="M59" s="17"/>
      <c r="N59" s="15"/>
      <c r="O59" s="3"/>
    </row>
    <row r="60" spans="1:15" ht="30" customHeight="1" x14ac:dyDescent="0.35">
      <c r="A60" s="106" t="s">
        <v>73</v>
      </c>
      <c r="B60" s="106"/>
      <c r="C60" s="107"/>
      <c r="D60" s="107"/>
      <c r="E60" s="107"/>
      <c r="F60" s="107"/>
      <c r="G60" s="107"/>
      <c r="H60" s="26"/>
      <c r="J60" s="18"/>
      <c r="K60" s="18"/>
      <c r="L60" s="18"/>
      <c r="M60" s="18"/>
      <c r="N60" s="18"/>
      <c r="O60" s="3"/>
    </row>
    <row r="61" spans="1:15" ht="30" customHeight="1" x14ac:dyDescent="0.35">
      <c r="A61" s="106" t="s">
        <v>74</v>
      </c>
      <c r="B61" s="106"/>
      <c r="C61" s="107"/>
      <c r="D61" s="107"/>
      <c r="E61" s="107"/>
      <c r="F61" s="107"/>
      <c r="G61" s="107"/>
      <c r="H61" s="40" t="s">
        <v>72</v>
      </c>
      <c r="I61" s="107"/>
      <c r="J61" s="107"/>
      <c r="K61" s="107"/>
      <c r="L61" s="107"/>
      <c r="M61" s="107"/>
      <c r="N61" s="107"/>
      <c r="O61" s="107"/>
    </row>
    <row r="62" spans="1:15" ht="30" customHeight="1" x14ac:dyDescent="0.3">
      <c r="A62" s="38"/>
      <c r="B62" s="1"/>
      <c r="D62" s="17"/>
      <c r="E62" s="17"/>
      <c r="F62" s="17"/>
      <c r="G62" s="17"/>
      <c r="H62" s="26"/>
      <c r="J62" s="17"/>
      <c r="K62" s="17"/>
      <c r="L62" s="17"/>
      <c r="M62" s="17"/>
      <c r="N62" s="17"/>
      <c r="O62" s="1"/>
    </row>
    <row r="63" spans="1:15" ht="30" customHeight="1" x14ac:dyDescent="0.4">
      <c r="A63" s="106" t="s">
        <v>73</v>
      </c>
      <c r="B63" s="106"/>
      <c r="C63" s="107"/>
      <c r="D63" s="107"/>
      <c r="E63" s="107"/>
      <c r="F63" s="107"/>
      <c r="G63" s="107"/>
      <c r="H63" s="27"/>
      <c r="J63" s="17"/>
      <c r="K63" s="17"/>
      <c r="L63" s="17"/>
      <c r="M63" s="18"/>
      <c r="N63" s="18"/>
      <c r="O63" s="3"/>
    </row>
    <row r="64" spans="1:15" ht="30" customHeight="1" x14ac:dyDescent="0.35">
      <c r="A64" s="106" t="s">
        <v>74</v>
      </c>
      <c r="B64" s="106"/>
      <c r="C64" s="107"/>
      <c r="D64" s="107"/>
      <c r="E64" s="107"/>
      <c r="F64" s="107"/>
      <c r="G64" s="107"/>
      <c r="H64" s="40" t="s">
        <v>72</v>
      </c>
      <c r="I64" s="107"/>
      <c r="J64" s="107"/>
      <c r="K64" s="107"/>
      <c r="L64" s="107"/>
      <c r="M64" s="107"/>
      <c r="N64" s="107"/>
      <c r="O64" s="107"/>
    </row>
    <row r="74" spans="13:13" x14ac:dyDescent="0.3">
      <c r="M74" s="2"/>
    </row>
  </sheetData>
  <mergeCells count="217">
    <mergeCell ref="A61:B61"/>
    <mergeCell ref="C61:G61"/>
    <mergeCell ref="I61:O61"/>
    <mergeCell ref="A63:B63"/>
    <mergeCell ref="C63:G63"/>
    <mergeCell ref="A64:B64"/>
    <mergeCell ref="C64:G64"/>
    <mergeCell ref="I64:O64"/>
    <mergeCell ref="A60:B60"/>
    <mergeCell ref="C60:G60"/>
    <mergeCell ref="A48:B48"/>
    <mergeCell ref="D48:E48"/>
    <mergeCell ref="F48:H48"/>
    <mergeCell ref="I48:K48"/>
    <mergeCell ref="L48:N48"/>
    <mergeCell ref="C57:G57"/>
    <mergeCell ref="I57:O57"/>
    <mergeCell ref="C58:G58"/>
    <mergeCell ref="I58:O58"/>
    <mergeCell ref="A51:O51"/>
    <mergeCell ref="A52:O52"/>
    <mergeCell ref="A53:O53"/>
    <mergeCell ref="A49:B49"/>
    <mergeCell ref="D49:E49"/>
    <mergeCell ref="F49:H49"/>
    <mergeCell ref="I49:K49"/>
    <mergeCell ref="L49:N49"/>
    <mergeCell ref="A50:O50"/>
    <mergeCell ref="A46:B46"/>
    <mergeCell ref="D46:E46"/>
    <mergeCell ref="F46:H46"/>
    <mergeCell ref="I46:K46"/>
    <mergeCell ref="L46:N46"/>
    <mergeCell ref="A47:B47"/>
    <mergeCell ref="D47:E47"/>
    <mergeCell ref="F47:H47"/>
    <mergeCell ref="I47:K47"/>
    <mergeCell ref="L47:N47"/>
    <mergeCell ref="A44:B44"/>
    <mergeCell ref="D44:E44"/>
    <mergeCell ref="F44:H44"/>
    <mergeCell ref="I44:K44"/>
    <mergeCell ref="L44:N44"/>
    <mergeCell ref="A45:B45"/>
    <mergeCell ref="D45:E45"/>
    <mergeCell ref="F45:H45"/>
    <mergeCell ref="I45:K45"/>
    <mergeCell ref="L45:N45"/>
    <mergeCell ref="A42:B42"/>
    <mergeCell ref="D42:E42"/>
    <mergeCell ref="F42:H42"/>
    <mergeCell ref="I42:K42"/>
    <mergeCell ref="L42:N42"/>
    <mergeCell ref="A43:B43"/>
    <mergeCell ref="D43:E43"/>
    <mergeCell ref="F43:H43"/>
    <mergeCell ref="I43:K43"/>
    <mergeCell ref="L43:N43"/>
    <mergeCell ref="A40:B40"/>
    <mergeCell ref="D40:E40"/>
    <mergeCell ref="F40:H40"/>
    <mergeCell ref="I40:K40"/>
    <mergeCell ref="L40:N40"/>
    <mergeCell ref="A41:B41"/>
    <mergeCell ref="D41:E41"/>
    <mergeCell ref="F41:H41"/>
    <mergeCell ref="I41:K41"/>
    <mergeCell ref="L41:N41"/>
    <mergeCell ref="A38:B38"/>
    <mergeCell ref="D38:E38"/>
    <mergeCell ref="F38:H38"/>
    <mergeCell ref="I38:K38"/>
    <mergeCell ref="L38:N38"/>
    <mergeCell ref="A39:B39"/>
    <mergeCell ref="D39:E39"/>
    <mergeCell ref="F39:H39"/>
    <mergeCell ref="I39:K39"/>
    <mergeCell ref="L39:N39"/>
    <mergeCell ref="A36:B36"/>
    <mergeCell ref="D36:E36"/>
    <mergeCell ref="F36:H36"/>
    <mergeCell ref="I36:K36"/>
    <mergeCell ref="L36:N36"/>
    <mergeCell ref="A37:B37"/>
    <mergeCell ref="D37:E37"/>
    <mergeCell ref="F37:H37"/>
    <mergeCell ref="I37:K37"/>
    <mergeCell ref="L37:N37"/>
    <mergeCell ref="A34:B34"/>
    <mergeCell ref="D34:E34"/>
    <mergeCell ref="F34:H34"/>
    <mergeCell ref="I34:K34"/>
    <mergeCell ref="L34:N34"/>
    <mergeCell ref="A35:B35"/>
    <mergeCell ref="D35:E35"/>
    <mergeCell ref="F35:H35"/>
    <mergeCell ref="I35:K35"/>
    <mergeCell ref="L35:N35"/>
    <mergeCell ref="A32:B32"/>
    <mergeCell ref="D32:E32"/>
    <mergeCell ref="F32:H32"/>
    <mergeCell ref="I32:K32"/>
    <mergeCell ref="L32:N32"/>
    <mergeCell ref="A33:B33"/>
    <mergeCell ref="D33:E33"/>
    <mergeCell ref="F33:H33"/>
    <mergeCell ref="I33:K33"/>
    <mergeCell ref="L33:N33"/>
    <mergeCell ref="A30:B30"/>
    <mergeCell ref="D30:E30"/>
    <mergeCell ref="F30:H30"/>
    <mergeCell ref="I30:K30"/>
    <mergeCell ref="L30:N30"/>
    <mergeCell ref="A31:B31"/>
    <mergeCell ref="D31:E31"/>
    <mergeCell ref="F31:H31"/>
    <mergeCell ref="I31:K31"/>
    <mergeCell ref="L31:N31"/>
    <mergeCell ref="A28:B28"/>
    <mergeCell ref="D28:E28"/>
    <mergeCell ref="F28:H28"/>
    <mergeCell ref="I28:K28"/>
    <mergeCell ref="L28:N28"/>
    <mergeCell ref="A29:B29"/>
    <mergeCell ref="D29:E29"/>
    <mergeCell ref="F29:H29"/>
    <mergeCell ref="I29:K29"/>
    <mergeCell ref="L29:N29"/>
    <mergeCell ref="A26:B26"/>
    <mergeCell ref="D26:E26"/>
    <mergeCell ref="F26:H26"/>
    <mergeCell ref="I26:K26"/>
    <mergeCell ref="L26:N26"/>
    <mergeCell ref="A27:B27"/>
    <mergeCell ref="D27:E27"/>
    <mergeCell ref="F27:H27"/>
    <mergeCell ref="I27:K27"/>
    <mergeCell ref="L27:N27"/>
    <mergeCell ref="A24:B24"/>
    <mergeCell ref="D24:E24"/>
    <mergeCell ref="F24:H24"/>
    <mergeCell ref="I24:K24"/>
    <mergeCell ref="L24:N24"/>
    <mergeCell ref="A25:B25"/>
    <mergeCell ref="D25:E25"/>
    <mergeCell ref="F25:H25"/>
    <mergeCell ref="I25:K25"/>
    <mergeCell ref="L25:N25"/>
    <mergeCell ref="A22:B22"/>
    <mergeCell ref="D22:E22"/>
    <mergeCell ref="F22:H22"/>
    <mergeCell ref="I22:K22"/>
    <mergeCell ref="L22:N22"/>
    <mergeCell ref="A23:B23"/>
    <mergeCell ref="D23:E23"/>
    <mergeCell ref="F23:H23"/>
    <mergeCell ref="I23:K23"/>
    <mergeCell ref="L23:N23"/>
    <mergeCell ref="A20:B20"/>
    <mergeCell ref="D20:E20"/>
    <mergeCell ref="F20:H20"/>
    <mergeCell ref="I20:K20"/>
    <mergeCell ref="L20:N20"/>
    <mergeCell ref="A21:B21"/>
    <mergeCell ref="D21:E21"/>
    <mergeCell ref="F21:H21"/>
    <mergeCell ref="I21:K21"/>
    <mergeCell ref="L21:N21"/>
    <mergeCell ref="A13:B13"/>
    <mergeCell ref="A14:O14"/>
    <mergeCell ref="A15:O15"/>
    <mergeCell ref="A16:B19"/>
    <mergeCell ref="C16:E17"/>
    <mergeCell ref="F16:K17"/>
    <mergeCell ref="L16:N17"/>
    <mergeCell ref="O16:O17"/>
    <mergeCell ref="D18:E18"/>
    <mergeCell ref="F18:H18"/>
    <mergeCell ref="I18:K18"/>
    <mergeCell ref="D19:E19"/>
    <mergeCell ref="F19:H19"/>
    <mergeCell ref="I19:K19"/>
    <mergeCell ref="L19:N19"/>
    <mergeCell ref="A8:F8"/>
    <mergeCell ref="G8:O8"/>
    <mergeCell ref="A9:C9"/>
    <mergeCell ref="G9:I9"/>
    <mergeCell ref="K9:N9"/>
    <mergeCell ref="D6:F6"/>
    <mergeCell ref="G6:H6"/>
    <mergeCell ref="I6:K6"/>
    <mergeCell ref="A12:B12"/>
    <mergeCell ref="G12:N12"/>
    <mergeCell ref="A10:C10"/>
    <mergeCell ref="G10:I10"/>
    <mergeCell ref="K10:N10"/>
    <mergeCell ref="A11:C11"/>
    <mergeCell ref="G11:I11"/>
    <mergeCell ref="K11:N11"/>
    <mergeCell ref="N6:O6"/>
    <mergeCell ref="A7:O7"/>
    <mergeCell ref="A1:O1"/>
    <mergeCell ref="B2:E2"/>
    <mergeCell ref="F2:G2"/>
    <mergeCell ref="H2:J2"/>
    <mergeCell ref="L2:O2"/>
    <mergeCell ref="D5:F5"/>
    <mergeCell ref="G5:H5"/>
    <mergeCell ref="I5:J5"/>
    <mergeCell ref="L5:M5"/>
    <mergeCell ref="B3:E3"/>
    <mergeCell ref="F3:G3"/>
    <mergeCell ref="H3:O3"/>
    <mergeCell ref="B4:C4"/>
    <mergeCell ref="D4:E4"/>
    <mergeCell ref="F4:G4"/>
    <mergeCell ref="I4:M4"/>
  </mergeCells>
  <pageMargins left="0.70866141732283472" right="0.70866141732283472" top="0.74803149606299213" bottom="0.74803149606299213" header="0.31496062992125984" footer="0.31496062992125984"/>
  <pageSetup paperSize="8" scale="59" orientation="portrait" r:id="rId1"/>
  <headerFooter>
    <oddHeader>&amp;L&amp;G&amp;R&amp;"-,Bold"&amp;14Control Cable  Inspection &amp; Test Report</oddHeader>
    <oddFooter>&amp;L&amp;"-,Bold"&amp;14Document Number: PWR-FRM-024&amp;C&amp;"-,Bold"&amp;14Date: Sept 2021 REV:0&amp;R&amp;"-,Bold"&amp;14Page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D6964-2B88-4A54-B3B6-BBAAF574BB22}">
  <sheetPr codeName="Sheet3">
    <pageSetUpPr fitToPage="1"/>
  </sheetPr>
  <dimension ref="A1:U56"/>
  <sheetViews>
    <sheetView view="pageBreakPreview" topLeftCell="A12" zoomScale="70" zoomScaleNormal="100" zoomScaleSheetLayoutView="70" workbookViewId="0">
      <selection activeCell="T17" sqref="T17"/>
    </sheetView>
  </sheetViews>
  <sheetFormatPr defaultColWidth="9.109375" defaultRowHeight="14.4" x14ac:dyDescent="0.3"/>
  <cols>
    <col min="1" max="1" width="14.6640625" customWidth="1"/>
    <col min="2" max="2" width="22.88671875" customWidth="1"/>
    <col min="3" max="3" width="25.33203125" customWidth="1"/>
    <col min="4" max="4" width="18.44140625" customWidth="1"/>
    <col min="5" max="5" width="5.88671875" customWidth="1"/>
    <col min="6" max="6" width="11.109375" customWidth="1"/>
    <col min="7" max="7" width="13" customWidth="1"/>
    <col min="8" max="8" width="13.44140625" customWidth="1"/>
    <col min="9" max="9" width="18" customWidth="1"/>
    <col min="10" max="10" width="6.33203125" customWidth="1"/>
    <col min="11" max="11" width="13.6640625" customWidth="1"/>
    <col min="12" max="12" width="17.109375" customWidth="1"/>
    <col min="13" max="13" width="7.44140625" customWidth="1"/>
    <col min="14" max="14" width="21.44140625" customWidth="1"/>
    <col min="15" max="15" width="12" customWidth="1"/>
    <col min="16" max="16" width="7.44140625" customWidth="1"/>
  </cols>
  <sheetData>
    <row r="1" spans="1:16" s="65" customFormat="1" ht="30" customHeight="1" x14ac:dyDescent="0.5">
      <c r="A1" s="176" t="s">
        <v>118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8"/>
    </row>
    <row r="2" spans="1:16" ht="34.799999999999997" x14ac:dyDescent="0.3">
      <c r="A2" s="11" t="s">
        <v>1</v>
      </c>
      <c r="B2" s="167" t="s">
        <v>508</v>
      </c>
      <c r="C2" s="167"/>
      <c r="D2" s="167"/>
      <c r="E2" s="167"/>
      <c r="F2" s="167" t="s">
        <v>2</v>
      </c>
      <c r="G2" s="167"/>
      <c r="H2" s="168" t="s">
        <v>509</v>
      </c>
      <c r="I2" s="169"/>
      <c r="J2" s="179"/>
      <c r="K2" s="49" t="s">
        <v>3</v>
      </c>
      <c r="L2" s="180" t="s">
        <v>510</v>
      </c>
      <c r="M2" s="181"/>
      <c r="N2" s="181"/>
      <c r="O2" s="181"/>
      <c r="P2" s="182"/>
    </row>
    <row r="3" spans="1:16" ht="35.1" customHeight="1" x14ac:dyDescent="0.3">
      <c r="A3" s="11" t="s">
        <v>4</v>
      </c>
      <c r="B3" s="167"/>
      <c r="C3" s="167"/>
      <c r="D3" s="167"/>
      <c r="E3" s="167"/>
      <c r="F3" s="167" t="s">
        <v>5</v>
      </c>
      <c r="G3" s="167"/>
      <c r="H3" s="168"/>
      <c r="I3" s="169"/>
      <c r="J3" s="169"/>
      <c r="K3" s="169"/>
      <c r="L3" s="169"/>
      <c r="M3" s="169"/>
      <c r="N3" s="169"/>
      <c r="O3" s="169"/>
      <c r="P3" s="170"/>
    </row>
    <row r="4" spans="1:16" ht="34.799999999999997" x14ac:dyDescent="0.3">
      <c r="A4" s="11" t="s">
        <v>6</v>
      </c>
      <c r="B4" s="171" t="s">
        <v>219</v>
      </c>
      <c r="C4" s="172"/>
      <c r="D4" s="167" t="s">
        <v>7</v>
      </c>
      <c r="E4" s="167"/>
      <c r="F4" s="173"/>
      <c r="G4" s="174"/>
      <c r="H4" s="49" t="s">
        <v>8</v>
      </c>
      <c r="I4" s="171" t="s">
        <v>218</v>
      </c>
      <c r="J4" s="175"/>
      <c r="K4" s="175"/>
      <c r="L4" s="175"/>
      <c r="M4" s="172"/>
      <c r="N4" s="49" t="s">
        <v>7</v>
      </c>
      <c r="O4" s="168"/>
      <c r="P4" s="170"/>
    </row>
    <row r="5" spans="1:16" ht="34.799999999999997" x14ac:dyDescent="0.3">
      <c r="A5" s="11" t="s">
        <v>9</v>
      </c>
      <c r="B5" s="45" t="s">
        <v>228</v>
      </c>
      <c r="C5" s="49" t="s">
        <v>10</v>
      </c>
      <c r="D5" s="168" t="s">
        <v>155</v>
      </c>
      <c r="E5" s="183"/>
      <c r="F5" s="174"/>
      <c r="G5" s="167" t="s">
        <v>11</v>
      </c>
      <c r="H5" s="167"/>
      <c r="I5" s="168" t="s">
        <v>157</v>
      </c>
      <c r="J5" s="179"/>
      <c r="K5" s="49" t="s">
        <v>12</v>
      </c>
      <c r="L5" s="168">
        <v>2</v>
      </c>
      <c r="M5" s="179"/>
      <c r="N5" s="49" t="s">
        <v>13</v>
      </c>
      <c r="O5" s="168" t="s">
        <v>214</v>
      </c>
      <c r="P5" s="170"/>
    </row>
    <row r="6" spans="1:16" ht="35.4" thickBot="1" x14ac:dyDescent="0.35">
      <c r="A6" s="13" t="s">
        <v>14</v>
      </c>
      <c r="B6" s="14"/>
      <c r="C6" s="48" t="s">
        <v>15</v>
      </c>
      <c r="D6" s="163"/>
      <c r="E6" s="164"/>
      <c r="F6" s="165"/>
      <c r="G6" s="166" t="s">
        <v>16</v>
      </c>
      <c r="H6" s="166"/>
      <c r="I6" s="231"/>
      <c r="J6" s="232"/>
      <c r="K6" s="113"/>
      <c r="L6" s="114"/>
      <c r="M6" s="233"/>
      <c r="N6" s="113"/>
      <c r="O6" s="114"/>
      <c r="P6" s="162"/>
    </row>
    <row r="7" spans="1:16" ht="30" customHeight="1" thickBot="1" x14ac:dyDescent="0.35">
      <c r="A7" s="132" t="s">
        <v>17</v>
      </c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</row>
    <row r="8" spans="1:16" ht="24.9" customHeight="1" x14ac:dyDescent="0.3">
      <c r="A8" s="261" t="s">
        <v>18</v>
      </c>
      <c r="B8" s="262"/>
      <c r="C8" s="262"/>
      <c r="D8" s="262"/>
      <c r="E8" s="262"/>
      <c r="F8" s="263"/>
      <c r="G8" s="261" t="s">
        <v>117</v>
      </c>
      <c r="H8" s="262"/>
      <c r="I8" s="262"/>
      <c r="J8" s="262"/>
      <c r="K8" s="262"/>
      <c r="L8" s="262"/>
      <c r="M8" s="262"/>
      <c r="N8" s="262"/>
      <c r="O8" s="262"/>
      <c r="P8" s="263"/>
    </row>
    <row r="9" spans="1:16" ht="27.75" customHeight="1" x14ac:dyDescent="0.3">
      <c r="A9" s="131" t="s">
        <v>20</v>
      </c>
      <c r="B9" s="128"/>
      <c r="C9" s="33" t="s">
        <v>21</v>
      </c>
      <c r="D9" s="51"/>
      <c r="E9" s="10"/>
      <c r="F9" s="8"/>
      <c r="G9" s="131" t="s">
        <v>22</v>
      </c>
      <c r="H9" s="128"/>
      <c r="I9" s="128"/>
      <c r="J9" s="128"/>
      <c r="K9" s="33" t="s">
        <v>21</v>
      </c>
      <c r="L9" s="128" t="s">
        <v>23</v>
      </c>
      <c r="M9" s="128"/>
      <c r="N9" s="128"/>
      <c r="O9" s="195" t="s">
        <v>21</v>
      </c>
      <c r="P9" s="196"/>
    </row>
    <row r="10" spans="1:16" ht="27" customHeight="1" x14ac:dyDescent="0.3">
      <c r="A10" s="131" t="s">
        <v>24</v>
      </c>
      <c r="B10" s="128"/>
      <c r="C10" s="33" t="s">
        <v>21</v>
      </c>
      <c r="D10" s="51"/>
      <c r="E10" s="10"/>
      <c r="F10" s="8"/>
      <c r="G10" s="131" t="s">
        <v>25</v>
      </c>
      <c r="H10" s="128"/>
      <c r="I10" s="128"/>
      <c r="J10" s="128"/>
      <c r="K10" s="33" t="s">
        <v>21</v>
      </c>
      <c r="L10" s="128" t="s">
        <v>26</v>
      </c>
      <c r="M10" s="128"/>
      <c r="N10" s="128"/>
      <c r="O10" s="209" t="s">
        <v>21</v>
      </c>
      <c r="P10" s="210"/>
    </row>
    <row r="11" spans="1:16" ht="30.75" customHeight="1" x14ac:dyDescent="0.3">
      <c r="A11" s="131" t="s">
        <v>27</v>
      </c>
      <c r="B11" s="128"/>
      <c r="C11" s="33" t="s">
        <v>21</v>
      </c>
      <c r="D11" s="51"/>
      <c r="E11" s="10"/>
      <c r="F11" s="8"/>
      <c r="G11" s="131" t="s">
        <v>28</v>
      </c>
      <c r="H11" s="128"/>
      <c r="I11" s="128"/>
      <c r="J11" s="128"/>
      <c r="K11" s="33" t="s">
        <v>21</v>
      </c>
      <c r="L11" s="10"/>
      <c r="M11" s="10"/>
      <c r="N11" s="2"/>
      <c r="O11" s="212"/>
      <c r="P11" s="213"/>
    </row>
    <row r="12" spans="1:16" ht="30" customHeight="1" thickBot="1" x14ac:dyDescent="0.35">
      <c r="A12" s="111" t="s">
        <v>31</v>
      </c>
      <c r="B12" s="112"/>
      <c r="C12" s="42" t="s">
        <v>32</v>
      </c>
      <c r="D12" s="42" t="s">
        <v>33</v>
      </c>
      <c r="E12" s="42"/>
      <c r="F12" s="64"/>
      <c r="G12" s="63" t="s">
        <v>31</v>
      </c>
      <c r="H12" s="42"/>
      <c r="I12" s="20"/>
      <c r="J12" s="20" t="s">
        <v>32</v>
      </c>
      <c r="K12" s="42"/>
      <c r="L12" s="42"/>
      <c r="M12" s="50"/>
      <c r="N12" s="42" t="s">
        <v>33</v>
      </c>
      <c r="O12" s="164"/>
      <c r="P12" s="211"/>
    </row>
    <row r="13" spans="1:16" ht="24.9" customHeight="1" thickBot="1" x14ac:dyDescent="0.35">
      <c r="A13" s="234"/>
      <c r="B13" s="234"/>
      <c r="C13" s="234"/>
      <c r="D13" s="234"/>
      <c r="E13" s="234"/>
      <c r="F13" s="234"/>
      <c r="G13" s="234"/>
      <c r="H13" s="234"/>
      <c r="I13" s="234"/>
      <c r="J13" s="133"/>
      <c r="K13" s="235" t="s">
        <v>116</v>
      </c>
      <c r="L13" s="235"/>
      <c r="M13" s="235"/>
      <c r="N13" s="235"/>
      <c r="O13" s="235"/>
      <c r="P13" s="235"/>
    </row>
    <row r="14" spans="1:16" ht="40.799999999999997" x14ac:dyDescent="0.3">
      <c r="A14" s="62" t="s">
        <v>115</v>
      </c>
      <c r="B14" s="61" t="s">
        <v>36</v>
      </c>
      <c r="C14" s="61" t="s">
        <v>114</v>
      </c>
      <c r="D14" s="226" t="s">
        <v>113</v>
      </c>
      <c r="E14" s="230"/>
      <c r="F14" s="226" t="s">
        <v>112</v>
      </c>
      <c r="G14" s="230"/>
      <c r="H14" s="226" t="s">
        <v>111</v>
      </c>
      <c r="I14" s="227"/>
      <c r="J14" s="133"/>
      <c r="K14" s="228" t="s">
        <v>110</v>
      </c>
      <c r="L14" s="229"/>
      <c r="M14" s="229" t="s">
        <v>109</v>
      </c>
      <c r="N14" s="229"/>
      <c r="O14" s="214" t="s">
        <v>108</v>
      </c>
      <c r="P14" s="215"/>
    </row>
    <row r="15" spans="1:16" ht="30" customHeight="1" x14ac:dyDescent="0.3">
      <c r="A15" s="60"/>
      <c r="B15" s="59" t="s">
        <v>107</v>
      </c>
      <c r="C15" s="59" t="s">
        <v>42</v>
      </c>
      <c r="D15" s="236" t="s">
        <v>42</v>
      </c>
      <c r="E15" s="237"/>
      <c r="F15" s="236" t="s">
        <v>43</v>
      </c>
      <c r="G15" s="237"/>
      <c r="H15" s="236" t="s">
        <v>43</v>
      </c>
      <c r="I15" s="238"/>
      <c r="J15" s="133"/>
      <c r="K15" s="239" t="s">
        <v>106</v>
      </c>
      <c r="L15" s="240"/>
      <c r="M15" s="241"/>
      <c r="N15" s="241"/>
      <c r="O15" s="216"/>
      <c r="P15" s="217"/>
    </row>
    <row r="16" spans="1:16" ht="30" customHeight="1" x14ac:dyDescent="0.3">
      <c r="A16" s="58"/>
      <c r="B16" s="57"/>
      <c r="C16" s="57"/>
      <c r="D16" s="242"/>
      <c r="E16" s="242"/>
      <c r="F16" s="242"/>
      <c r="G16" s="242"/>
      <c r="H16" s="242"/>
      <c r="I16" s="243"/>
      <c r="J16" s="133"/>
      <c r="K16" s="239" t="s">
        <v>105</v>
      </c>
      <c r="L16" s="240"/>
      <c r="M16" s="244"/>
      <c r="N16" s="244"/>
      <c r="O16" s="216"/>
      <c r="P16" s="217"/>
    </row>
    <row r="17" spans="1:21" ht="30" customHeight="1" x14ac:dyDescent="0.3">
      <c r="A17" s="58"/>
      <c r="B17" s="57"/>
      <c r="C17" s="57"/>
      <c r="D17" s="242"/>
      <c r="E17" s="242"/>
      <c r="F17" s="242"/>
      <c r="G17" s="242"/>
      <c r="H17" s="242"/>
      <c r="I17" s="243"/>
      <c r="J17" s="133"/>
      <c r="K17" s="239" t="s">
        <v>104</v>
      </c>
      <c r="L17" s="240"/>
      <c r="M17" s="244"/>
      <c r="N17" s="244"/>
      <c r="O17" s="216"/>
      <c r="P17" s="217"/>
    </row>
    <row r="18" spans="1:21" ht="30" customHeight="1" x14ac:dyDescent="0.3">
      <c r="A18" s="58"/>
      <c r="B18" s="57"/>
      <c r="C18" s="57"/>
      <c r="D18" s="242"/>
      <c r="E18" s="242"/>
      <c r="F18" s="242"/>
      <c r="G18" s="242"/>
      <c r="H18" s="242"/>
      <c r="I18" s="243"/>
      <c r="J18" s="133"/>
      <c r="K18" s="239" t="s">
        <v>103</v>
      </c>
      <c r="L18" s="240"/>
      <c r="M18" s="244"/>
      <c r="N18" s="244"/>
      <c r="O18" s="216"/>
      <c r="P18" s="217"/>
    </row>
    <row r="19" spans="1:21" ht="30" customHeight="1" x14ac:dyDescent="0.3">
      <c r="A19" s="58"/>
      <c r="B19" s="57"/>
      <c r="C19" s="57"/>
      <c r="D19" s="242"/>
      <c r="E19" s="242"/>
      <c r="F19" s="242"/>
      <c r="G19" s="242"/>
      <c r="H19" s="242"/>
      <c r="I19" s="243"/>
      <c r="J19" s="133"/>
      <c r="K19" s="239" t="s">
        <v>102</v>
      </c>
      <c r="L19" s="240"/>
      <c r="M19" s="244"/>
      <c r="N19" s="244"/>
      <c r="O19" s="216"/>
      <c r="P19" s="217"/>
    </row>
    <row r="20" spans="1:21" ht="30" customHeight="1" x14ac:dyDescent="0.3">
      <c r="A20" s="58"/>
      <c r="B20" s="57"/>
      <c r="C20" s="57"/>
      <c r="D20" s="242"/>
      <c r="E20" s="242"/>
      <c r="F20" s="242"/>
      <c r="G20" s="242"/>
      <c r="H20" s="242"/>
      <c r="I20" s="243"/>
      <c r="J20" s="133"/>
      <c r="K20" s="239" t="s">
        <v>101</v>
      </c>
      <c r="L20" s="240"/>
      <c r="M20" s="244"/>
      <c r="N20" s="244"/>
      <c r="O20" s="216"/>
      <c r="P20" s="217"/>
    </row>
    <row r="21" spans="1:21" ht="30" customHeight="1" x14ac:dyDescent="0.3">
      <c r="A21" s="58"/>
      <c r="B21" s="57"/>
      <c r="C21" s="57"/>
      <c r="D21" s="242"/>
      <c r="E21" s="242"/>
      <c r="F21" s="242"/>
      <c r="G21" s="242"/>
      <c r="H21" s="242"/>
      <c r="I21" s="243"/>
      <c r="J21" s="133"/>
      <c r="K21" s="239" t="s">
        <v>100</v>
      </c>
      <c r="L21" s="240"/>
      <c r="M21" s="244"/>
      <c r="N21" s="244"/>
      <c r="O21" s="216"/>
      <c r="P21" s="217"/>
    </row>
    <row r="22" spans="1:21" ht="30" customHeight="1" x14ac:dyDescent="0.3">
      <c r="A22" s="58"/>
      <c r="B22" s="57"/>
      <c r="C22" s="57"/>
      <c r="D22" s="242"/>
      <c r="E22" s="242"/>
      <c r="F22" s="242"/>
      <c r="G22" s="242"/>
      <c r="H22" s="242"/>
      <c r="I22" s="243"/>
      <c r="J22" s="133"/>
      <c r="K22" s="239" t="s">
        <v>99</v>
      </c>
      <c r="L22" s="240"/>
      <c r="M22" s="244"/>
      <c r="N22" s="244"/>
      <c r="O22" s="216"/>
      <c r="P22" s="217"/>
    </row>
    <row r="23" spans="1:21" ht="30" customHeight="1" x14ac:dyDescent="0.3">
      <c r="A23" s="58"/>
      <c r="B23" s="57"/>
      <c r="C23" s="57"/>
      <c r="D23" s="242"/>
      <c r="E23" s="242"/>
      <c r="F23" s="242"/>
      <c r="G23" s="242"/>
      <c r="H23" s="242"/>
      <c r="I23" s="243"/>
      <c r="J23" s="133"/>
      <c r="K23" s="239" t="s">
        <v>98</v>
      </c>
      <c r="L23" s="240"/>
      <c r="M23" s="244"/>
      <c r="N23" s="244"/>
      <c r="O23" s="216"/>
      <c r="P23" s="217"/>
    </row>
    <row r="24" spans="1:21" ht="30" customHeight="1" thickBot="1" x14ac:dyDescent="0.35">
      <c r="A24" s="56"/>
      <c r="B24" s="55"/>
      <c r="C24" s="55"/>
      <c r="D24" s="248"/>
      <c r="E24" s="248"/>
      <c r="F24" s="248"/>
      <c r="G24" s="248"/>
      <c r="H24" s="248"/>
      <c r="I24" s="249"/>
      <c r="J24" s="133"/>
      <c r="K24" s="274" t="s">
        <v>97</v>
      </c>
      <c r="L24" s="275"/>
      <c r="M24" s="276"/>
      <c r="N24" s="276"/>
      <c r="O24" s="218"/>
      <c r="P24" s="219"/>
    </row>
    <row r="25" spans="1:21" ht="15" thickBot="1" x14ac:dyDescent="0.35">
      <c r="A25" s="277"/>
      <c r="B25" s="277"/>
      <c r="C25" s="277"/>
      <c r="D25" s="27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5"/>
      <c r="R25" s="5"/>
      <c r="S25" s="5"/>
      <c r="T25" s="5"/>
      <c r="U25" s="5"/>
    </row>
    <row r="26" spans="1:21" ht="24.9" customHeight="1" x14ac:dyDescent="0.3">
      <c r="A26" s="220" t="s">
        <v>498</v>
      </c>
      <c r="B26" s="220"/>
      <c r="C26" s="220"/>
      <c r="D26" s="220"/>
      <c r="E26" s="220"/>
      <c r="F26" s="220"/>
      <c r="G26" s="220"/>
      <c r="H26" s="220"/>
      <c r="I26" s="220"/>
      <c r="J26" s="220"/>
      <c r="K26" s="220" t="s">
        <v>497</v>
      </c>
      <c r="L26" s="220"/>
      <c r="M26" s="220"/>
      <c r="N26" s="220"/>
      <c r="O26" s="220"/>
      <c r="P26" s="220"/>
    </row>
    <row r="27" spans="1:21" ht="30" customHeight="1" x14ac:dyDescent="0.3">
      <c r="A27" s="221" t="s">
        <v>495</v>
      </c>
      <c r="B27" s="247"/>
      <c r="C27" s="205"/>
      <c r="D27" s="206"/>
      <c r="E27" s="98" t="s">
        <v>21</v>
      </c>
      <c r="F27" s="221" t="s">
        <v>96</v>
      </c>
      <c r="G27" s="188" t="s">
        <v>496</v>
      </c>
      <c r="H27" s="222"/>
      <c r="I27" s="189"/>
      <c r="J27" s="207" t="s">
        <v>21</v>
      </c>
      <c r="K27" s="102" t="s">
        <v>504</v>
      </c>
      <c r="L27" s="93"/>
      <c r="M27" s="96" t="s">
        <v>21</v>
      </c>
      <c r="N27" s="94" t="s">
        <v>505</v>
      </c>
      <c r="O27" s="96"/>
      <c r="P27" s="104" t="s">
        <v>21</v>
      </c>
    </row>
    <row r="28" spans="1:21" ht="30" customHeight="1" x14ac:dyDescent="0.3">
      <c r="A28" s="245" t="s">
        <v>95</v>
      </c>
      <c r="B28" s="246"/>
      <c r="C28" s="205"/>
      <c r="D28" s="206"/>
      <c r="E28" s="98" t="s">
        <v>21</v>
      </c>
      <c r="F28" s="221"/>
      <c r="G28" s="223"/>
      <c r="H28" s="224"/>
      <c r="I28" s="225"/>
      <c r="J28" s="208"/>
      <c r="K28" s="102" t="s">
        <v>507</v>
      </c>
      <c r="L28" s="93"/>
      <c r="M28" s="96" t="s">
        <v>21</v>
      </c>
      <c r="N28" s="94" t="s">
        <v>502</v>
      </c>
      <c r="O28" s="96"/>
      <c r="P28" s="104" t="s">
        <v>21</v>
      </c>
    </row>
    <row r="29" spans="1:21" ht="30" customHeight="1" x14ac:dyDescent="0.3">
      <c r="A29" s="221" t="s">
        <v>94</v>
      </c>
      <c r="B29" s="247"/>
      <c r="C29" s="205"/>
      <c r="D29" s="206"/>
      <c r="E29" s="98" t="s">
        <v>21</v>
      </c>
      <c r="F29" s="101" t="s">
        <v>93</v>
      </c>
      <c r="G29" s="205"/>
      <c r="H29" s="291"/>
      <c r="I29" s="206"/>
      <c r="J29" s="99" t="s">
        <v>21</v>
      </c>
      <c r="K29" s="102" t="s">
        <v>506</v>
      </c>
      <c r="L29" s="93"/>
      <c r="M29" s="96" t="s">
        <v>21</v>
      </c>
      <c r="N29" s="94" t="s">
        <v>503</v>
      </c>
      <c r="O29" s="96"/>
      <c r="P29" s="104" t="s">
        <v>21</v>
      </c>
    </row>
    <row r="30" spans="1:21" ht="39.75" customHeight="1" x14ac:dyDescent="0.3">
      <c r="A30" s="184" t="s">
        <v>499</v>
      </c>
      <c r="B30" s="185"/>
      <c r="C30" s="188"/>
      <c r="D30" s="189"/>
      <c r="E30" s="192" t="s">
        <v>21</v>
      </c>
      <c r="F30" s="194"/>
      <c r="G30" s="195"/>
      <c r="H30" s="195"/>
      <c r="I30" s="195"/>
      <c r="J30" s="196"/>
      <c r="K30" s="102" t="s">
        <v>500</v>
      </c>
      <c r="L30" s="93"/>
      <c r="M30" s="96" t="s">
        <v>21</v>
      </c>
      <c r="N30" s="94"/>
      <c r="O30" s="96"/>
      <c r="P30" s="104"/>
    </row>
    <row r="31" spans="1:21" ht="36.75" customHeight="1" thickBot="1" x14ac:dyDescent="0.35">
      <c r="A31" s="186"/>
      <c r="B31" s="187"/>
      <c r="C31" s="190"/>
      <c r="D31" s="191"/>
      <c r="E31" s="193"/>
      <c r="F31" s="197"/>
      <c r="G31" s="198"/>
      <c r="H31" s="198"/>
      <c r="I31" s="198"/>
      <c r="J31" s="199"/>
      <c r="K31" s="103" t="s">
        <v>501</v>
      </c>
      <c r="L31" s="95"/>
      <c r="M31" s="97" t="s">
        <v>21</v>
      </c>
      <c r="N31" s="100"/>
      <c r="O31" s="97"/>
      <c r="P31" s="105"/>
    </row>
    <row r="32" spans="1:21" ht="15" thickBot="1" x14ac:dyDescent="0.35">
      <c r="A32" s="290"/>
      <c r="B32" s="290"/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</row>
    <row r="33" spans="1:16" ht="24.9" customHeight="1" x14ac:dyDescent="0.3">
      <c r="A33" s="228" t="s">
        <v>92</v>
      </c>
      <c r="B33" s="229"/>
      <c r="C33" s="229"/>
      <c r="D33" s="229"/>
      <c r="E33" s="229"/>
      <c r="F33" s="229"/>
      <c r="G33" s="229"/>
      <c r="H33" s="229"/>
      <c r="I33" s="229"/>
      <c r="J33" s="229"/>
      <c r="K33" s="229"/>
      <c r="L33" s="229"/>
      <c r="M33" s="229"/>
      <c r="N33" s="229"/>
      <c r="O33" s="214"/>
      <c r="P33" s="278"/>
    </row>
    <row r="34" spans="1:16" ht="30" customHeight="1" x14ac:dyDescent="0.3">
      <c r="A34" s="279" t="s">
        <v>91</v>
      </c>
      <c r="B34" s="280"/>
      <c r="C34" s="281" t="s">
        <v>90</v>
      </c>
      <c r="D34" s="282"/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3"/>
    </row>
    <row r="35" spans="1:16" ht="30" customHeight="1" thickBot="1" x14ac:dyDescent="0.35">
      <c r="A35" s="284" t="s">
        <v>89</v>
      </c>
      <c r="B35" s="260"/>
      <c r="C35" s="264" t="s">
        <v>88</v>
      </c>
      <c r="D35" s="265"/>
      <c r="E35" s="265"/>
      <c r="F35" s="265"/>
      <c r="G35" s="265"/>
      <c r="H35" s="266"/>
      <c r="I35" s="260" t="s">
        <v>87</v>
      </c>
      <c r="J35" s="260"/>
      <c r="K35" s="260">
        <v>0</v>
      </c>
      <c r="L35" s="260"/>
      <c r="M35" s="260">
        <v>180</v>
      </c>
      <c r="N35" s="260"/>
      <c r="O35" s="200" t="s">
        <v>86</v>
      </c>
      <c r="P35" s="201"/>
    </row>
    <row r="36" spans="1:16" ht="30" customHeight="1" thickBot="1" x14ac:dyDescent="0.35">
      <c r="A36" s="285"/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7"/>
      <c r="P36" s="288"/>
    </row>
    <row r="37" spans="1:16" ht="30" customHeight="1" x14ac:dyDescent="0.3">
      <c r="A37" s="289" t="s">
        <v>85</v>
      </c>
      <c r="B37" s="202"/>
      <c r="C37" s="202" t="s">
        <v>84</v>
      </c>
      <c r="D37" s="202"/>
      <c r="E37" s="202" t="s">
        <v>83</v>
      </c>
      <c r="F37" s="202"/>
      <c r="G37" s="202"/>
      <c r="H37" s="202"/>
      <c r="I37" s="202" t="s">
        <v>82</v>
      </c>
      <c r="J37" s="202"/>
      <c r="K37" s="202" t="s">
        <v>81</v>
      </c>
      <c r="L37" s="202"/>
      <c r="M37" s="202"/>
      <c r="N37" s="202"/>
      <c r="O37" s="202" t="s">
        <v>80</v>
      </c>
      <c r="P37" s="202"/>
    </row>
    <row r="38" spans="1:16" ht="30" customHeight="1" x14ac:dyDescent="0.3">
      <c r="A38" s="221" t="s">
        <v>79</v>
      </c>
      <c r="B38" s="247"/>
      <c r="C38" s="255"/>
      <c r="D38" s="256"/>
      <c r="E38" s="255"/>
      <c r="F38" s="257"/>
      <c r="G38" s="257"/>
      <c r="H38" s="256"/>
      <c r="I38" s="255"/>
      <c r="J38" s="256"/>
      <c r="K38" s="255"/>
      <c r="L38" s="257"/>
      <c r="M38" s="257"/>
      <c r="N38" s="256"/>
      <c r="O38" s="203"/>
      <c r="P38" s="203"/>
    </row>
    <row r="39" spans="1:16" ht="30" customHeight="1" x14ac:dyDescent="0.3">
      <c r="A39" s="221" t="s">
        <v>78</v>
      </c>
      <c r="B39" s="247"/>
      <c r="C39" s="255"/>
      <c r="D39" s="256"/>
      <c r="E39" s="255"/>
      <c r="F39" s="257"/>
      <c r="G39" s="257"/>
      <c r="H39" s="256"/>
      <c r="I39" s="255"/>
      <c r="J39" s="256"/>
      <c r="K39" s="255"/>
      <c r="L39" s="257"/>
      <c r="M39" s="257"/>
      <c r="N39" s="256"/>
      <c r="O39" s="203"/>
      <c r="P39" s="203"/>
    </row>
    <row r="40" spans="1:16" ht="30" customHeight="1" x14ac:dyDescent="0.3">
      <c r="A40" s="221" t="s">
        <v>77</v>
      </c>
      <c r="B40" s="247"/>
      <c r="C40" s="255"/>
      <c r="D40" s="256"/>
      <c r="E40" s="255"/>
      <c r="F40" s="257"/>
      <c r="G40" s="257"/>
      <c r="H40" s="256"/>
      <c r="I40" s="255"/>
      <c r="J40" s="256"/>
      <c r="K40" s="255"/>
      <c r="L40" s="257"/>
      <c r="M40" s="257"/>
      <c r="N40" s="256"/>
      <c r="O40" s="203"/>
      <c r="P40" s="203"/>
    </row>
    <row r="41" spans="1:16" ht="30" customHeight="1" thickBot="1" x14ac:dyDescent="0.35">
      <c r="A41" s="258" t="s">
        <v>76</v>
      </c>
      <c r="B41" s="259"/>
      <c r="C41" s="271"/>
      <c r="D41" s="272"/>
      <c r="E41" s="271"/>
      <c r="F41" s="273"/>
      <c r="G41" s="273"/>
      <c r="H41" s="272"/>
      <c r="I41" s="271"/>
      <c r="J41" s="272"/>
      <c r="K41" s="271"/>
      <c r="L41" s="273"/>
      <c r="M41" s="273"/>
      <c r="N41" s="272"/>
      <c r="O41" s="204"/>
      <c r="P41" s="204"/>
    </row>
    <row r="42" spans="1:16" ht="15" thickBot="1" x14ac:dyDescent="0.35">
      <c r="A42" s="133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</row>
    <row r="43" spans="1:16" ht="24.9" customHeight="1" x14ac:dyDescent="0.3">
      <c r="A43" s="134" t="s">
        <v>68</v>
      </c>
      <c r="B43" s="135"/>
      <c r="C43" s="135"/>
      <c r="D43" s="135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250"/>
      <c r="P43" s="136"/>
    </row>
    <row r="44" spans="1:16" ht="35.1" customHeight="1" x14ac:dyDescent="0.3">
      <c r="A44" s="251"/>
      <c r="B44" s="252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3"/>
      <c r="P44" s="254"/>
    </row>
    <row r="45" spans="1:16" ht="35.1" customHeight="1" thickBot="1" x14ac:dyDescent="0.35">
      <c r="A45" s="267"/>
      <c r="B45" s="268"/>
      <c r="C45" s="268"/>
      <c r="D45" s="268"/>
      <c r="E45" s="268"/>
      <c r="F45" s="268"/>
      <c r="G45" s="268"/>
      <c r="H45" s="268"/>
      <c r="I45" s="268"/>
      <c r="J45" s="268"/>
      <c r="K45" s="268"/>
      <c r="L45" s="268"/>
      <c r="M45" s="268"/>
      <c r="N45" s="268"/>
      <c r="O45" s="269"/>
      <c r="P45" s="270"/>
    </row>
    <row r="46" spans="1:16" ht="24.9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</row>
    <row r="47" spans="1:16" ht="35.1" customHeight="1" x14ac:dyDescent="0.35">
      <c r="A47" s="41" t="s">
        <v>69</v>
      </c>
      <c r="B47" s="39"/>
      <c r="C47" s="107"/>
      <c r="D47" s="107"/>
      <c r="E47" s="107"/>
      <c r="F47" s="107"/>
      <c r="G47" s="107"/>
      <c r="H47" s="40" t="s">
        <v>70</v>
      </c>
      <c r="I47" s="107"/>
      <c r="J47" s="107"/>
      <c r="K47" s="107"/>
      <c r="L47" s="107"/>
      <c r="M47" s="107"/>
      <c r="N47" s="107"/>
      <c r="O47" s="107"/>
      <c r="P47" s="107"/>
    </row>
    <row r="48" spans="1:16" ht="35.1" customHeight="1" x14ac:dyDescent="0.35">
      <c r="A48" s="41" t="s">
        <v>71</v>
      </c>
      <c r="B48" s="39"/>
      <c r="C48" s="107"/>
      <c r="D48" s="107"/>
      <c r="E48" s="107"/>
      <c r="F48" s="107"/>
      <c r="G48" s="107"/>
      <c r="H48" s="40" t="s">
        <v>72</v>
      </c>
      <c r="I48" s="107"/>
      <c r="J48" s="107"/>
      <c r="K48" s="107"/>
      <c r="L48" s="107"/>
      <c r="M48" s="107"/>
      <c r="N48" s="107"/>
      <c r="O48" s="107"/>
      <c r="P48" s="107"/>
    </row>
    <row r="49" spans="1:16" ht="35.1" customHeight="1" x14ac:dyDescent="0.35">
      <c r="A49" s="37"/>
      <c r="D49" s="17"/>
      <c r="E49" s="17"/>
      <c r="F49" s="17"/>
      <c r="G49" s="18"/>
      <c r="H49" s="19"/>
      <c r="J49" s="17"/>
      <c r="K49" s="17"/>
      <c r="L49" s="17"/>
      <c r="M49" s="17"/>
      <c r="N49" s="15"/>
      <c r="O49" s="17"/>
      <c r="P49" s="3"/>
    </row>
    <row r="50" spans="1:16" ht="35.1" customHeight="1" x14ac:dyDescent="0.35">
      <c r="A50" s="106" t="s">
        <v>73</v>
      </c>
      <c r="B50" s="106"/>
      <c r="C50" s="107"/>
      <c r="D50" s="107"/>
      <c r="E50" s="107"/>
      <c r="F50" s="107"/>
      <c r="G50" s="107"/>
      <c r="H50" s="26"/>
      <c r="J50" s="18"/>
      <c r="K50" s="18"/>
      <c r="L50" s="18"/>
      <c r="M50" s="18"/>
      <c r="N50" s="18"/>
      <c r="O50" s="18"/>
      <c r="P50" s="3"/>
    </row>
    <row r="51" spans="1:16" ht="35.1" customHeight="1" x14ac:dyDescent="0.35">
      <c r="A51" s="106" t="s">
        <v>74</v>
      </c>
      <c r="B51" s="106"/>
      <c r="C51" s="107"/>
      <c r="D51" s="107"/>
      <c r="E51" s="107"/>
      <c r="F51" s="107"/>
      <c r="G51" s="107"/>
      <c r="H51" s="40" t="s">
        <v>72</v>
      </c>
      <c r="I51" s="107"/>
      <c r="J51" s="107"/>
      <c r="K51" s="107"/>
      <c r="L51" s="107"/>
      <c r="M51" s="107"/>
      <c r="N51" s="107"/>
      <c r="O51" s="107"/>
      <c r="P51" s="107"/>
    </row>
    <row r="52" spans="1:16" ht="35.1" customHeight="1" x14ac:dyDescent="0.3">
      <c r="A52" s="38"/>
      <c r="B52" s="1"/>
      <c r="D52" s="17"/>
      <c r="E52" s="17"/>
      <c r="F52" s="17"/>
      <c r="G52" s="17"/>
      <c r="H52" s="26"/>
      <c r="J52" s="17"/>
      <c r="K52" s="17"/>
      <c r="L52" s="17"/>
      <c r="M52" s="17"/>
      <c r="N52" s="17"/>
      <c r="O52" s="17"/>
      <c r="P52" s="1"/>
    </row>
    <row r="53" spans="1:16" ht="35.1" customHeight="1" x14ac:dyDescent="0.4">
      <c r="A53" s="106" t="s">
        <v>73</v>
      </c>
      <c r="B53" s="106"/>
      <c r="C53" s="107"/>
      <c r="D53" s="107"/>
      <c r="E53" s="107"/>
      <c r="F53" s="107"/>
      <c r="G53" s="107"/>
      <c r="H53" s="27"/>
      <c r="J53" s="17"/>
      <c r="K53" s="17"/>
      <c r="L53" s="17"/>
      <c r="M53" s="18"/>
      <c r="N53" s="18"/>
      <c r="O53" s="18"/>
      <c r="P53" s="3"/>
    </row>
    <row r="54" spans="1:16" ht="35.1" customHeight="1" x14ac:dyDescent="0.35">
      <c r="A54" s="106" t="s">
        <v>74</v>
      </c>
      <c r="B54" s="106"/>
      <c r="C54" s="107"/>
      <c r="D54" s="107"/>
      <c r="E54" s="107"/>
      <c r="F54" s="107"/>
      <c r="G54" s="107"/>
      <c r="H54" s="40" t="s">
        <v>72</v>
      </c>
      <c r="I54" s="107"/>
      <c r="J54" s="107"/>
      <c r="K54" s="107"/>
      <c r="L54" s="107"/>
      <c r="M54" s="107"/>
      <c r="N54" s="107"/>
      <c r="O54" s="107"/>
      <c r="P54" s="107"/>
    </row>
    <row r="55" spans="1:16" ht="24.9" customHeight="1" x14ac:dyDescent="0.3">
      <c r="A55" s="52"/>
      <c r="B55" s="52"/>
      <c r="C55" s="53"/>
      <c r="D55" s="53"/>
      <c r="E55" s="53"/>
      <c r="F55" s="53"/>
      <c r="G55" s="53"/>
      <c r="H55" s="53"/>
      <c r="I55" s="53"/>
      <c r="J55" s="52"/>
      <c r="K55" s="52"/>
      <c r="L55" s="52"/>
      <c r="M55" s="52"/>
      <c r="N55" s="52"/>
      <c r="O55" s="52"/>
      <c r="P55" s="51"/>
    </row>
    <row r="56" spans="1:16" ht="24.9" customHeight="1" x14ac:dyDescent="0.3"/>
  </sheetData>
  <mergeCells count="184">
    <mergeCell ref="A11:B11"/>
    <mergeCell ref="G9:J9"/>
    <mergeCell ref="G10:J10"/>
    <mergeCell ref="G11:J11"/>
    <mergeCell ref="A39:B39"/>
    <mergeCell ref="C39:D39"/>
    <mergeCell ref="C41:D41"/>
    <mergeCell ref="E41:H41"/>
    <mergeCell ref="I41:J41"/>
    <mergeCell ref="A38:B38"/>
    <mergeCell ref="C38:D38"/>
    <mergeCell ref="E38:H38"/>
    <mergeCell ref="I38:J38"/>
    <mergeCell ref="F24:G24"/>
    <mergeCell ref="E39:H39"/>
    <mergeCell ref="A25:P25"/>
    <mergeCell ref="I35:J35"/>
    <mergeCell ref="A33:P33"/>
    <mergeCell ref="A34:B34"/>
    <mergeCell ref="C34:P34"/>
    <mergeCell ref="A35:B35"/>
    <mergeCell ref="I39:J39"/>
    <mergeCell ref="K39:N39"/>
    <mergeCell ref="A36:P36"/>
    <mergeCell ref="A7:P7"/>
    <mergeCell ref="A42:P42"/>
    <mergeCell ref="A43:P43"/>
    <mergeCell ref="A44:P44"/>
    <mergeCell ref="A40:B40"/>
    <mergeCell ref="C40:D40"/>
    <mergeCell ref="E40:H40"/>
    <mergeCell ref="I40:J40"/>
    <mergeCell ref="K40:N40"/>
    <mergeCell ref="A41:B41"/>
    <mergeCell ref="K35:L35"/>
    <mergeCell ref="M35:N35"/>
    <mergeCell ref="G8:P8"/>
    <mergeCell ref="L10:N10"/>
    <mergeCell ref="L9:N9"/>
    <mergeCell ref="A8:F8"/>
    <mergeCell ref="C35:H35"/>
    <mergeCell ref="D21:E21"/>
    <mergeCell ref="F21:G21"/>
    <mergeCell ref="H21:I21"/>
    <mergeCell ref="K21:L21"/>
    <mergeCell ref="A12:B12"/>
    <mergeCell ref="A9:B9"/>
    <mergeCell ref="A10:B10"/>
    <mergeCell ref="M21:N21"/>
    <mergeCell ref="A28:B28"/>
    <mergeCell ref="A29:B29"/>
    <mergeCell ref="D22:E22"/>
    <mergeCell ref="F22:G22"/>
    <mergeCell ref="H22:I22"/>
    <mergeCell ref="K22:L22"/>
    <mergeCell ref="M22:N22"/>
    <mergeCell ref="D23:E23"/>
    <mergeCell ref="F23:G23"/>
    <mergeCell ref="H23:I23"/>
    <mergeCell ref="K23:L23"/>
    <mergeCell ref="M23:N23"/>
    <mergeCell ref="D24:E24"/>
    <mergeCell ref="H24:I24"/>
    <mergeCell ref="A27:B27"/>
    <mergeCell ref="K24:L24"/>
    <mergeCell ref="M24:N24"/>
    <mergeCell ref="G29:I29"/>
    <mergeCell ref="M18:N18"/>
    <mergeCell ref="D19:E19"/>
    <mergeCell ref="F19:G19"/>
    <mergeCell ref="H19:I19"/>
    <mergeCell ref="K19:L19"/>
    <mergeCell ref="M19:N19"/>
    <mergeCell ref="D20:E20"/>
    <mergeCell ref="F20:G20"/>
    <mergeCell ref="H20:I20"/>
    <mergeCell ref="K20:L20"/>
    <mergeCell ref="M20:N20"/>
    <mergeCell ref="K6:M6"/>
    <mergeCell ref="A13:I13"/>
    <mergeCell ref="J13:J24"/>
    <mergeCell ref="K13:P13"/>
    <mergeCell ref="D14:E14"/>
    <mergeCell ref="D15:E15"/>
    <mergeCell ref="F15:G15"/>
    <mergeCell ref="H15:I15"/>
    <mergeCell ref="K15:L15"/>
    <mergeCell ref="M15:N15"/>
    <mergeCell ref="D16:E16"/>
    <mergeCell ref="F16:G16"/>
    <mergeCell ref="H16:I16"/>
    <mergeCell ref="K16:L16"/>
    <mergeCell ref="M16:N16"/>
    <mergeCell ref="D17:E17"/>
    <mergeCell ref="F17:G17"/>
    <mergeCell ref="H17:I17"/>
    <mergeCell ref="K17:L17"/>
    <mergeCell ref="M17:N17"/>
    <mergeCell ref="D18:E18"/>
    <mergeCell ref="F18:G18"/>
    <mergeCell ref="H18:I18"/>
    <mergeCell ref="K18:L18"/>
    <mergeCell ref="A1:P1"/>
    <mergeCell ref="B2:E2"/>
    <mergeCell ref="F2:G2"/>
    <mergeCell ref="H2:J2"/>
    <mergeCell ref="L2:P2"/>
    <mergeCell ref="N6:P6"/>
    <mergeCell ref="H14:I14"/>
    <mergeCell ref="K14:L14"/>
    <mergeCell ref="M14:N14"/>
    <mergeCell ref="F14:G14"/>
    <mergeCell ref="B3:E3"/>
    <mergeCell ref="F3:G3"/>
    <mergeCell ref="H3:P3"/>
    <mergeCell ref="B4:C4"/>
    <mergeCell ref="D4:E4"/>
    <mergeCell ref="F4:G4"/>
    <mergeCell ref="I4:M4"/>
    <mergeCell ref="D5:F5"/>
    <mergeCell ref="G5:H5"/>
    <mergeCell ref="I5:J5"/>
    <mergeCell ref="L5:M5"/>
    <mergeCell ref="D6:F6"/>
    <mergeCell ref="G6:H6"/>
    <mergeCell ref="I6:J6"/>
    <mergeCell ref="F27:F28"/>
    <mergeCell ref="G27:I28"/>
    <mergeCell ref="A51:B51"/>
    <mergeCell ref="C51:G51"/>
    <mergeCell ref="I51:P51"/>
    <mergeCell ref="A53:B53"/>
    <mergeCell ref="C53:G53"/>
    <mergeCell ref="A54:B54"/>
    <mergeCell ref="C54:G54"/>
    <mergeCell ref="I54:P54"/>
    <mergeCell ref="C47:G47"/>
    <mergeCell ref="I47:P47"/>
    <mergeCell ref="C48:G48"/>
    <mergeCell ref="I48:P48"/>
    <mergeCell ref="A50:B50"/>
    <mergeCell ref="C50:G50"/>
    <mergeCell ref="A45:P45"/>
    <mergeCell ref="K41:N41"/>
    <mergeCell ref="K38:N38"/>
    <mergeCell ref="A37:B37"/>
    <mergeCell ref="C37:D37"/>
    <mergeCell ref="E37:H37"/>
    <mergeCell ref="I37:J37"/>
    <mergeCell ref="K37:N37"/>
    <mergeCell ref="O41:P41"/>
    <mergeCell ref="C27:D27"/>
    <mergeCell ref="C28:D28"/>
    <mergeCell ref="C29:D29"/>
    <mergeCell ref="J27:J28"/>
    <mergeCell ref="O4:P4"/>
    <mergeCell ref="O5:P5"/>
    <mergeCell ref="O9:P9"/>
    <mergeCell ref="O10:P10"/>
    <mergeCell ref="O12:P12"/>
    <mergeCell ref="O11:P11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4:P24"/>
    <mergeCell ref="A26:J26"/>
    <mergeCell ref="K26:P26"/>
    <mergeCell ref="A30:B31"/>
    <mergeCell ref="C30:D31"/>
    <mergeCell ref="E30:E31"/>
    <mergeCell ref="F30:J31"/>
    <mergeCell ref="O35:P35"/>
    <mergeCell ref="O37:P37"/>
    <mergeCell ref="O38:P38"/>
    <mergeCell ref="O39:P39"/>
    <mergeCell ref="O40:P40"/>
    <mergeCell ref="A32:P32"/>
  </mergeCells>
  <pageMargins left="0.43307086614173229" right="0.23622047244094491" top="0.74803149606299213" bottom="0.15748031496062992" header="0.31496062992125984" footer="0.31496062992125984"/>
  <pageSetup paperSize="8" scale="60" orientation="portrait" r:id="rId1"/>
  <headerFooter>
    <oddHeader>&amp;L&amp;G&amp;R&amp;"-,Bold"&amp;14Power Cable Inspection and Test Report</oddHeader>
    <oddFooter>&amp;L&amp;"-,Bold"&amp;14Document Number: PWR-FRM-025&amp;C&amp;"-,Bold"&amp;14Date: September 2018 REV:0&amp;R&amp;"-,Bold"&amp;14Page &amp;P of &amp;N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2801d6-ee67-4e76-9465-084512bf005b">
      <Terms xmlns="http://schemas.microsoft.com/office/infopath/2007/PartnerControls"/>
    </lcf76f155ced4ddcb4097134ff3c332f>
    <TaxCatchAll xmlns="322af060-2913-4c11-958a-f7aee99fe8d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357878B116B045B556BB61AD85E59C" ma:contentTypeVersion="17" ma:contentTypeDescription="Create a new document." ma:contentTypeScope="" ma:versionID="304509047c27c419401c52723b4dfa99">
  <xsd:schema xmlns:xsd="http://www.w3.org/2001/XMLSchema" xmlns:xs="http://www.w3.org/2001/XMLSchema" xmlns:p="http://schemas.microsoft.com/office/2006/metadata/properties" xmlns:ns2="f72801d6-ee67-4e76-9465-084512bf005b" xmlns:ns3="322af060-2913-4c11-958a-f7aee99fe8d4" targetNamespace="http://schemas.microsoft.com/office/2006/metadata/properties" ma:root="true" ma:fieldsID="6ac40ca0ee562ef7e5bc4167d0831b4c" ns2:_="" ns3:_="">
    <xsd:import namespace="f72801d6-ee67-4e76-9465-084512bf005b"/>
    <xsd:import namespace="322af060-2913-4c11-958a-f7aee99fe8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2801d6-ee67-4e76-9465-084512bf00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fd2ca4e2-2eb8-4ed9-ac30-88ea10f0396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2af060-2913-4c11-958a-f7aee99fe8d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48bbc26-19bc-4f78-b88d-b55a32463ffe}" ma:internalName="TaxCatchAll" ma:showField="CatchAllData" ma:web="322af060-2913-4c11-958a-f7aee99fe8d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DA64CC-7CFE-4C2E-9E7D-1609DA691A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769338-D0A2-46BD-ABB6-7A1567DE5B0E}">
  <ds:schemaRefs>
    <ds:schemaRef ds:uri="http://schemas.microsoft.com/office/2006/metadata/properties"/>
    <ds:schemaRef ds:uri="http://schemas.microsoft.com/office/infopath/2007/PartnerControls"/>
    <ds:schemaRef ds:uri="f72801d6-ee67-4e76-9465-084512bf005b"/>
    <ds:schemaRef ds:uri="322af060-2913-4c11-958a-f7aee99fe8d4"/>
  </ds:schemaRefs>
</ds:datastoreItem>
</file>

<file path=customXml/itemProps3.xml><?xml version="1.0" encoding="utf-8"?>
<ds:datastoreItem xmlns:ds="http://schemas.openxmlformats.org/officeDocument/2006/customXml" ds:itemID="{D2E49CAA-A148-4B20-A104-FA4BDB13CF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2801d6-ee67-4e76-9465-084512bf005b"/>
    <ds:schemaRef ds:uri="322af060-2913-4c11-958a-f7aee99fe8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ITR LIST</vt:lpstr>
      <vt:lpstr>INSTRUMENT</vt:lpstr>
      <vt:lpstr>CONTROL</vt:lpstr>
      <vt:lpstr>POWER</vt:lpstr>
      <vt:lpstr>CONTROL!Print_Area</vt:lpstr>
      <vt:lpstr>INSTRUMENT!Print_Area</vt:lpstr>
      <vt:lpstr>'ITR LIST'!Print_Area</vt:lpstr>
      <vt:lpstr>POWER!Print_Area</vt:lpstr>
      <vt:lpstr>CONTROL!Print_Titles</vt:lpstr>
      <vt:lpstr>INSTRUMENT!Print_Titles</vt:lpstr>
      <vt:lpstr>'ITR LIST'!Print_Titles</vt:lpstr>
      <vt:lpstr>POWER!Print_Titles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Need to Select Folder</dc:title>
  <dc:subject/>
  <dc:creator>Morgan Mann</dc:creator>
  <cp:keywords/>
  <dc:description/>
  <cp:lastModifiedBy>Harry Steel</cp:lastModifiedBy>
  <cp:revision/>
  <cp:lastPrinted>2024-07-29T04:00:39Z</cp:lastPrinted>
  <dcterms:created xsi:type="dcterms:W3CDTF">2018-08-29T05:18:07Z</dcterms:created>
  <dcterms:modified xsi:type="dcterms:W3CDTF">2024-07-29T04:00:55Z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0x010100A2357878B116B045B556BB61AD85E59C</vt:lpwstr>
  </property>
  <property fmtid="{D5CDD505-2E9C-101B-9397-08002B2CF9AE}" pid="3" name="MediaServiceImageTags">
    <vt:lpwstr/>
  </property>
</Properties>
</file>